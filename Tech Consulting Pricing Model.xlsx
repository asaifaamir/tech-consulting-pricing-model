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 Assumptions" sheetId="1" state="visible" r:id="rId3"/>
    <sheet name="Service Pricing" sheetId="2" state="visible" r:id="rId4"/>
    <sheet name="Pricing Opportunity" sheetId="3" state="visible" r:id="rId5"/>
    <sheet name="Tier 1 — Hours Detail" sheetId="4" state="visible" r:id="rId6"/>
    <sheet name="Department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<sst xmlns="http://schemas.openxmlformats.org/spreadsheetml/2006/main" count="1018" uniqueCount="254">
  <si>
    <t xml:space="preserve">TECH CONSULTING PRICING MODEL — KEY ASSUMPTIONS &amp; METHODOLOGY</t>
  </si>
  <si>
    <t xml:space="preserve">Anonymized Portfolio Case Study  |  Technology Consulting Firm  |  All figures illustrative</t>
  </si>
  <si>
    <t xml:space="preserve">SERVICE COVERAGE</t>
  </si>
  <si>
    <t xml:space="preserve">Total services analyzed</t>
  </si>
  <si>
    <t xml:space="preserve">128 services across 6 departments</t>
  </si>
  <si>
    <t xml:space="preserve">Departments</t>
  </si>
  <si>
    <t xml:space="preserve">Software Development, Systems Integration, Data &amp; Analytics, AI &amp; Automation, Technical Consulting, Managed Services</t>
  </si>
  <si>
    <t xml:space="preserve">Tier 1 services (hours-based)</t>
  </si>
  <si>
    <t xml:space="preserve">12 Technical Consulting services — bottom-up workload valuation</t>
  </si>
  <si>
    <t xml:space="preserve">Tier 2 services (peer benchmark)</t>
  </si>
  <si>
    <t xml:space="preserve">116 services — peer market benchmark pricing</t>
  </si>
  <si>
    <t xml:space="preserve">Tier 3 services (composite default)</t>
  </si>
  <si>
    <t xml:space="preserve">0 — every service anchored to hours data or peer benchmark</t>
  </si>
  <si>
    <t xml:space="preserve">BILLING RATE STRUCTURE</t>
  </si>
  <si>
    <t xml:space="preserve">Junior Developer / Analyst</t>
  </si>
  <si>
    <t xml:space="preserve">$75 / hr — market rate for junior tech consulting professionals</t>
  </si>
  <si>
    <t xml:space="preserve">Senior Developer / Architect</t>
  </si>
  <si>
    <t xml:space="preserve">$125 / hr — market rate for senior tech consulting professionals</t>
  </si>
  <si>
    <t xml:space="preserve">Principal / Lead Architect</t>
  </si>
  <si>
    <t xml:space="preserve">$175 / hr — market rate for principal-level tech engagement</t>
  </si>
  <si>
    <t xml:space="preserve">Source</t>
  </si>
  <si>
    <t xml:space="preserve">Clutch.co, GoodFirms, Upwork Pro, industry association benchmarks</t>
  </si>
  <si>
    <t xml:space="preserve">VALUATION METHODOLOGY</t>
  </si>
  <si>
    <t xml:space="preserve">Tier 1 — Bottom-Up Workload (High Confidence)</t>
  </si>
  <si>
    <t xml:space="preserve">Labor Cost = (Junior Hrs × $75) + (Senior Hrs × $125) + (Principal Hrs × $175). Market avg sourced independently. Applied to Technical Consulting services where delivery hours are known.</t>
  </si>
  <si>
    <t xml:space="preserve">Tier 2 — Peer Anchor Benchmark (Medium Confidence)</t>
  </si>
  <si>
    <t xml:space="preserve">Applied to all other services. Market avg sourced from Clutch.co, GoodFirms, UpWork Pro, and published tech agency rate cards.</t>
  </si>
  <si>
    <t xml:space="preserve">Tier 3 — Composite Default (Low Confidence)</t>
  </si>
  <si>
    <t xml:space="preserve">Not required — zero services needed this method.</t>
  </si>
  <si>
    <t xml:space="preserve">RECOMMENDED PRICE FORMULA</t>
  </si>
  <si>
    <t xml:space="preserve">Formula</t>
  </si>
  <si>
    <t xml:space="preserve">Recommended Price = Market Average × 0.95</t>
  </si>
  <si>
    <t xml:space="preserve">Rationale</t>
  </si>
  <si>
    <t xml:space="preserve">Positions firm 5% below market midpoint — competitive value proposition while capturing market value</t>
  </si>
  <si>
    <t xml:space="preserve">Application</t>
  </si>
  <si>
    <t xml:space="preserve">Uniform across all 128 services</t>
  </si>
  <si>
    <t xml:space="preserve">Pricing floor</t>
  </si>
  <si>
    <t xml:space="preserve">Labor cost retained as floor reference for Tier 1 services. Flag raised if Rec. Price &lt; Labor Cost.</t>
  </si>
  <si>
    <t xml:space="preserve">PRICING HYGIENE ROUNDING</t>
  </si>
  <si>
    <t xml:space="preserve">Under $1,000</t>
  </si>
  <si>
    <t xml:space="preserve">Round to nearest $50</t>
  </si>
  <si>
    <t xml:space="preserve">$1,000 — $9,999</t>
  </si>
  <si>
    <t xml:space="preserve">Round to nearest $100</t>
  </si>
  <si>
    <t xml:space="preserve">$10,000+</t>
  </si>
  <si>
    <t xml:space="preserve">Round to nearest $500</t>
  </si>
  <si>
    <t xml:space="preserve">DATA SOURCES</t>
  </si>
  <si>
    <t xml:space="preserve">Software Development</t>
  </si>
  <si>
    <t xml:space="preserve">Clutch.co verified agency pricing, GoodFirms project benchmarks, UpWork Pro fixed-price project data</t>
  </si>
  <si>
    <t xml:space="preserve">Systems Integration</t>
  </si>
  <si>
    <t xml:space="preserve">MuleSoft partner network pricing, Zapier certified partner rates, middleware vendor benchmarks</t>
  </si>
  <si>
    <t xml:space="preserve">Data &amp; Analytics</t>
  </si>
  <si>
    <t xml:space="preserve">Gartner BI pricing surveys, Microsoft partner network rates, Databricks partner benchmarks</t>
  </si>
  <si>
    <t xml:space="preserve">AI &amp; Automation</t>
  </si>
  <si>
    <t xml:space="preserve">McKinsey AI pricing surveys, UpWork AI specialist rates, enterprise AI vendor benchmarks</t>
  </si>
  <si>
    <t xml:space="preserve">Technical Consulting</t>
  </si>
  <si>
    <t xml:space="preserve">ITIL consulting rate benchmarks, Big 4 tech consulting published rates, independent CTO market data</t>
  </si>
  <si>
    <t xml:space="preserve">Managed Services</t>
  </si>
  <si>
    <t xml:space="preserve">MSP industry association benchmarks, TSIA managed services pricing surveys</t>
  </si>
  <si>
    <t xml:space="preserve">TECH CONSULTING PRICING MODEL — SERVICE BENCHMARKING  (128 Services across 6 Departments)</t>
  </si>
  <si>
    <t xml:space="preserve">Rec. Price = Market Avg × 0.95  |  Blue text = hardcoded inputs  |  Black text = formulas  |  All figures illustrative</t>
  </si>
  <si>
    <t xml:space="preserve">Department</t>
  </si>
  <si>
    <t xml:space="preserve">Service Name</t>
  </si>
  <si>
    <t xml:space="preserve">Pricing
Freq.</t>
  </si>
  <si>
    <t xml:space="preserve">Valuation
Method</t>
  </si>
  <si>
    <t xml:space="preserve">Current
Price</t>
  </si>
  <si>
    <t xml:space="preserve">Labor Cost
(Floor)</t>
  </si>
  <si>
    <t xml:space="preserve">Market Avg
(Peer)</t>
  </si>
  <si>
    <t xml:space="preserve">Rec. Price
(Mkt×0.95)</t>
  </si>
  <si>
    <t xml:space="preserve">% vs Market
(Current)</t>
  </si>
  <si>
    <t xml:space="preserve">Pricing Position</t>
  </si>
  <si>
    <t xml:space="preserve">Jr Hrs</t>
  </si>
  <si>
    <t xml:space="preserve">Sr Hrs</t>
  </si>
  <si>
    <t xml:space="preserve">Prin Hrs</t>
  </si>
  <si>
    <t xml:space="preserve">Notes</t>
  </si>
  <si>
    <t xml:space="preserve">Custom Web Application — Small</t>
  </si>
  <si>
    <t xml:space="preserve">One-Time</t>
  </si>
  <si>
    <t xml:space="preserve">🟡 Tier 2 — Peer Benchmark</t>
  </si>
  <si>
    <t xml:space="preserve">—</t>
  </si>
  <si>
    <t xml:space="preserve">🟢 Market Aligned</t>
  </si>
  <si>
    <t xml:space="preserve">Small web app, up to 10 screens</t>
  </si>
  <si>
    <t xml:space="preserve">Custom Web Application — Medium</t>
  </si>
  <si>
    <t xml:space="preserve">Medium web app, 10–30 screens</t>
  </si>
  <si>
    <t xml:space="preserve">Custom Web Application — Large</t>
  </si>
  <si>
    <t xml:space="preserve">Complex web app, 30+ screens</t>
  </si>
  <si>
    <t xml:space="preserve">Mobile App — iOS or Android</t>
  </si>
  <si>
    <t xml:space="preserve">Native single-platform mobile app</t>
  </si>
  <si>
    <t xml:space="preserve">Mobile App — Cross-Platform</t>
  </si>
  <si>
    <t xml:space="preserve">React Native or Flutter cross-platform</t>
  </si>
  <si>
    <t xml:space="preserve">API Development — Basic</t>
  </si>
  <si>
    <t xml:space="preserve">RESTful API, up to 10 endpoints</t>
  </si>
  <si>
    <t xml:space="preserve">API Development — Advanced</t>
  </si>
  <si>
    <t xml:space="preserve">Complex API with auth, rate limiting</t>
  </si>
  <si>
    <t xml:space="preserve">Database Design &amp; Build</t>
  </si>
  <si>
    <t xml:space="preserve">Schema design and initial build</t>
  </si>
  <si>
    <t xml:space="preserve">Legacy System Modernization</t>
  </si>
  <si>
    <t xml:space="preserve">Replatform or rewrite legacy system</t>
  </si>
  <si>
    <t xml:space="preserve">E-Commerce Development</t>
  </si>
  <si>
    <t xml:space="preserve">Full e-commerce storefront build</t>
  </si>
  <si>
    <t xml:space="preserve">CMS Website Build</t>
  </si>
  <si>
    <t xml:space="preserve">Content-managed website</t>
  </si>
  <si>
    <t xml:space="preserve">Code Review &amp; Audit</t>
  </si>
  <si>
    <t xml:space="preserve">Full codebase review and report</t>
  </si>
  <si>
    <t xml:space="preserve">CRM Integration — Basic</t>
  </si>
  <si>
    <t xml:space="preserve">🟠 Moderately Under Market</t>
  </si>
  <si>
    <t xml:space="preserve">Single CRM to one external system</t>
  </si>
  <si>
    <t xml:space="preserve">CRM Integration — Advanced</t>
  </si>
  <si>
    <t xml:space="preserve">CRM to multiple systems, bi-directional</t>
  </si>
  <si>
    <t xml:space="preserve">ERP Integration</t>
  </si>
  <si>
    <t xml:space="preserve">ERP system integration and data sync</t>
  </si>
  <si>
    <t xml:space="preserve">Third-Party API Integration</t>
  </si>
  <si>
    <t xml:space="preserve">Single third-party API integration</t>
  </si>
  <si>
    <t xml:space="preserve">Payment Gateway Integration</t>
  </si>
  <si>
    <t xml:space="preserve">Stripe, PayPal, or equivalent</t>
  </si>
  <si>
    <t xml:space="preserve">SSO / Identity Integration</t>
  </si>
  <si>
    <t xml:space="preserve">Single sign-on implementation</t>
  </si>
  <si>
    <t xml:space="preserve">Data Migration — Small</t>
  </si>
  <si>
    <t xml:space="preserve">Under 100K records</t>
  </si>
  <si>
    <t xml:space="preserve">Data Migration — Large</t>
  </si>
  <si>
    <t xml:space="preserve">100K+ records, complex mapping</t>
  </si>
  <si>
    <t xml:space="preserve">Webhook &amp; Event System Build</t>
  </si>
  <si>
    <t xml:space="preserve">Event-driven integration layer</t>
  </si>
  <si>
    <t xml:space="preserve">Integration Testing &amp; QA</t>
  </si>
  <si>
    <t xml:space="preserve">End-to-end integration testing</t>
  </si>
  <si>
    <t xml:space="preserve">iPaaS Platform Setup</t>
  </si>
  <si>
    <t xml:space="preserve">Zapier/Make/Workato workflow setup</t>
  </si>
  <si>
    <t xml:space="preserve">Data Warehouse Design</t>
  </si>
  <si>
    <t xml:space="preserve">Architecture and schema design</t>
  </si>
  <si>
    <t xml:space="preserve">ETL Pipeline Build — Basic</t>
  </si>
  <si>
    <t xml:space="preserve">Single source, standard transforms</t>
  </si>
  <si>
    <t xml:space="preserve">ETL Pipeline Build — Advanced</t>
  </si>
  <si>
    <t xml:space="preserve">Multi-source, complex transforms</t>
  </si>
  <si>
    <t xml:space="preserve">BI Dashboard — Executive</t>
  </si>
  <si>
    <t xml:space="preserve">KPI dashboard for leadership</t>
  </si>
  <si>
    <t xml:space="preserve">BI Dashboard — Operational</t>
  </si>
  <si>
    <t xml:space="preserve">Day-to-day operational reporting</t>
  </si>
  <si>
    <t xml:space="preserve">BI Dashboard — Self-Service</t>
  </si>
  <si>
    <t xml:space="preserve">End-user self-service analytics</t>
  </si>
  <si>
    <t xml:space="preserve">Data Model Design</t>
  </si>
  <si>
    <t xml:space="preserve">Star/snowflake schema design</t>
  </si>
  <si>
    <t xml:space="preserve">Reporting Automation</t>
  </si>
  <si>
    <t xml:space="preserve">Automated scheduled reporting</t>
  </si>
  <si>
    <t xml:space="preserve">Data Quality Framework</t>
  </si>
  <si>
    <t xml:space="preserve">DQ rules, monitoring, alerting</t>
  </si>
  <si>
    <t xml:space="preserve">Analytics Platform Migration</t>
  </si>
  <si>
    <t xml:space="preserve">Full BI platform migration</t>
  </si>
  <si>
    <t xml:space="preserve">Custom DAX / Calculated Metrics</t>
  </si>
  <si>
    <t xml:space="preserve">Complex measure development</t>
  </si>
  <si>
    <t xml:space="preserve">Data Governance Framework</t>
  </si>
  <si>
    <t xml:space="preserve">Policies, stewardship, lineage</t>
  </si>
  <si>
    <t xml:space="preserve">Lakehouse / Fabric Implementation</t>
  </si>
  <si>
    <t xml:space="preserve">Microsoft Fabric or Databricks build</t>
  </si>
  <si>
    <t xml:space="preserve">Workflow Automation — Basic</t>
  </si>
  <si>
    <t xml:space="preserve">Single process automation</t>
  </si>
  <si>
    <t xml:space="preserve">Workflow Automation — Advanced</t>
  </si>
  <si>
    <t xml:space="preserve">Multi-step complex automation</t>
  </si>
  <si>
    <t xml:space="preserve">RPA Implementation</t>
  </si>
  <si>
    <t xml:space="preserve">Robotic process automation</t>
  </si>
  <si>
    <t xml:space="preserve">AI Chatbot — Basic</t>
  </si>
  <si>
    <t xml:space="preserve">FAQ / support chatbot</t>
  </si>
  <si>
    <t xml:space="preserve">AI Chatbot — Advanced</t>
  </si>
  <si>
    <t xml:space="preserve">LLM-powered conversational AI</t>
  </si>
  <si>
    <t xml:space="preserve">ML Model Development</t>
  </si>
  <si>
    <t xml:space="preserve">Custom ML model build and train</t>
  </si>
  <si>
    <t xml:space="preserve">ML Model Deployment</t>
  </si>
  <si>
    <t xml:space="preserve">Model serving and API wrapper</t>
  </si>
  <si>
    <t xml:space="preserve">NLP / Text Analytics</t>
  </si>
  <si>
    <t xml:space="preserve">Natural language processing pipeline</t>
  </si>
  <si>
    <t xml:space="preserve">Predictive Analytics Model</t>
  </si>
  <si>
    <t xml:space="preserve">Forecasting or classification model</t>
  </si>
  <si>
    <t xml:space="preserve">AI Integration into Existing App</t>
  </si>
  <si>
    <t xml:space="preserve">Embed AI into existing system</t>
  </si>
  <si>
    <t xml:space="preserve">Process Mining &amp; Analysis</t>
  </si>
  <si>
    <t xml:space="preserve">Identify automation opportunities</t>
  </si>
  <si>
    <t xml:space="preserve">Computer Vision Solution</t>
  </si>
  <si>
    <t xml:space="preserve">Image/video recognition system</t>
  </si>
  <si>
    <t xml:space="preserve">Discovery &amp; Requirements Session</t>
  </si>
  <si>
    <t xml:space="preserve">🔵 Tier 1 — Bottom-Up</t>
  </si>
  <si>
    <t xml:space="preserve">🔴 Significantly Under Market</t>
  </si>
  <si>
    <t xml:space="preserve">Structured requirements gathering</t>
  </si>
  <si>
    <t xml:space="preserve">Technical Architecture Review</t>
  </si>
  <si>
    <t xml:space="preserve">🔵 Premium</t>
  </si>
  <si>
    <t xml:space="preserve">Review and assess existing architecture</t>
  </si>
  <si>
    <t xml:space="preserve">Solution Architecture Design</t>
  </si>
  <si>
    <t xml:space="preserve">Design target-state architecture</t>
  </si>
  <si>
    <t xml:space="preserve">Technology Stack Assessment</t>
  </si>
  <si>
    <t xml:space="preserve">Evaluate current tech stack fit</t>
  </si>
  <si>
    <t xml:space="preserve">Security Audit</t>
  </si>
  <si>
    <t xml:space="preserve">⭐ Significantly Premium</t>
  </si>
  <si>
    <t xml:space="preserve">Full application security review</t>
  </si>
  <si>
    <t xml:space="preserve">Cloud Readiness Assessment</t>
  </si>
  <si>
    <t xml:space="preserve">Evaluate cloud migration readiness</t>
  </si>
  <si>
    <t xml:space="preserve">DevOps Maturity Assessment</t>
  </si>
  <si>
    <t xml:space="preserve">CI/CD and DevOps practice review</t>
  </si>
  <si>
    <t xml:space="preserve">Data Strategy Workshop</t>
  </si>
  <si>
    <t xml:space="preserve">Executive data strategy session</t>
  </si>
  <si>
    <t xml:space="preserve">Technical Due Diligence</t>
  </si>
  <si>
    <t xml:space="preserve">M&amp;A tech stack due diligence</t>
  </si>
  <si>
    <t xml:space="preserve">Performance Optimization Review</t>
  </si>
  <si>
    <t xml:space="preserve">Identify system performance gaps</t>
  </si>
  <si>
    <t xml:space="preserve">Fractional CTO — Monthly Retainer</t>
  </si>
  <si>
    <t xml:space="preserve">Monthly</t>
  </si>
  <si>
    <t xml:space="preserve">Part-time CTO advisory service</t>
  </si>
  <si>
    <t xml:space="preserve">Technical Advisory — Monthly</t>
  </si>
  <si>
    <t xml:space="preserve">Ongoing technical advisory retainer</t>
  </si>
  <si>
    <t xml:space="preserve">Application Support — Basic</t>
  </si>
  <si>
    <t xml:space="preserve">Bug fixes and minor updates</t>
  </si>
  <si>
    <t xml:space="preserve">Application Support — Standard</t>
  </si>
  <si>
    <t xml:space="preserve">Support + minor feature work</t>
  </si>
  <si>
    <t xml:space="preserve">Application Support — Premium</t>
  </si>
  <si>
    <t xml:space="preserve">Full managed application support</t>
  </si>
  <si>
    <t xml:space="preserve">Cloud Infrastructure Management</t>
  </si>
  <si>
    <t xml:space="preserve">AWS/Azure/GCP infrastructure mgmt</t>
  </si>
  <si>
    <t xml:space="preserve">Database Administration</t>
  </si>
  <si>
    <t xml:space="preserve">DBA services and optimization</t>
  </si>
  <si>
    <t xml:space="preserve">BI Platform Administration</t>
  </si>
  <si>
    <t xml:space="preserve">BI tool admin and governance</t>
  </si>
  <si>
    <t xml:space="preserve">Security Monitoring</t>
  </si>
  <si>
    <t xml:space="preserve">Continuous security monitoring</t>
  </si>
  <si>
    <t xml:space="preserve">DevOps &amp; CI/CD Management</t>
  </si>
  <si>
    <t xml:space="preserve">Pipeline management and releases</t>
  </si>
  <si>
    <t xml:space="preserve">SLA-Based Support — 99.9% Uptime</t>
  </si>
  <si>
    <t xml:space="preserve">Enterprise SLA support contract</t>
  </si>
  <si>
    <t xml:space="preserve">Disaster Recovery Management</t>
  </si>
  <si>
    <t xml:space="preserve">DR planning and execution</t>
  </si>
  <si>
    <t xml:space="preserve">PRICING OPPORTUNITY — REVENUE IMPACT ANALYSIS  (128 Services) — Sorted by Annual Uplift</t>
  </si>
  <si>
    <t xml:space="preserve">Annual Uplift assumes 1 active client per service  |  Rec. Price = Market Avg × 0.95  |  All figures illustrative</t>
  </si>
  <si>
    <t xml:space="preserve">Freq.</t>
  </si>
  <si>
    <t xml:space="preserve">Current Price</t>
  </si>
  <si>
    <t xml:space="preserve">Rec. Price</t>
  </si>
  <si>
    <t xml:space="preserve">Market Avg</t>
  </si>
  <si>
    <t xml:space="preserve">Price Gap $</t>
  </si>
  <si>
    <t xml:space="preserve">% Increase</t>
  </si>
  <si>
    <t xml:space="preserve">Annual @ Current</t>
  </si>
  <si>
    <t xml:space="preserve">Annual @ Rec.</t>
  </si>
  <si>
    <t xml:space="preserve">Annual Uplift</t>
  </si>
  <si>
    <t xml:space="preserve">TOTAL ANNUAL REVENUE OPPORTUNITY (1 client per service)</t>
  </si>
  <si>
    <t xml:space="preserve">TIER 1 VALUATION DETAIL — TECHNICAL CONSULTING (Bottom-Up Workload  |  12 Services)</t>
  </si>
  <si>
    <t xml:space="preserve">Labor Cost = (Jr Hrs × $75) + (Sr Hrs × $125) + (Principal Hrs × $175)  |  Market Avg sourced independently  |  Rec. Price = Market Avg × 0.95</t>
  </si>
  <si>
    <t xml:space="preserve">Jr Hrs
($75/hr)</t>
  </si>
  <si>
    <t xml:space="preserve">Sr Hrs
($125/hr)</t>
  </si>
  <si>
    <t xml:space="preserve">Prin Hrs
($175/hr)</t>
  </si>
  <si>
    <t xml:space="preserve">Gross
Margin %</t>
  </si>
  <si>
    <t xml:space="preserve">% vs Market</t>
  </si>
  <si>
    <t xml:space="preserve">DEPARTMENT SUMMARY — PRICING POSITION DISTRIBUTION &amp; REVENUE OPPORTUNITY</t>
  </si>
  <si>
    <t xml:space="preserve">Aggregated view by department  |  Assumes 1 active client per service  |  All figures illustrative</t>
  </si>
  <si>
    <t xml:space="preserve">Services</t>
  </si>
  <si>
    <t xml:space="preserve">Significantly
Under (≤-30%)</t>
  </si>
  <si>
    <t xml:space="preserve">Moderately
Under (-30 to -10%)</t>
  </si>
  <si>
    <t xml:space="preserve">Market
Aligned</t>
  </si>
  <si>
    <t xml:space="preserve">Premium
(+10%+)</t>
  </si>
  <si>
    <t xml:space="preserve">Annual Rev
@ Current</t>
  </si>
  <si>
    <t xml:space="preserve">Annual Rev
@ Rec.</t>
  </si>
  <si>
    <t xml:space="preserve">Annual
Uplift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</si>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</sst>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;\(0.0%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FF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FF0000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5FB"/>
        <bgColor rgb="FFE8F0FE"/>
      </patternFill>
    </fill>
    <fill>
      <patternFill patternType="solid">
        <fgColor rgb="FF2E5FA3"/>
        <bgColor rgb="FF3366FF"/>
      </patternFill>
    </fill>
    <fill>
      <patternFill patternType="solid">
        <fgColor rgb="FFF2F2F2"/>
        <bgColor rgb="FFEBF5FB"/>
      </patternFill>
    </fill>
    <fill>
      <patternFill patternType="solid">
        <fgColor rgb="FFFFFFFF"/>
        <bgColor rgb="FFFFF8E1"/>
      </patternFill>
    </fill>
    <fill>
      <patternFill patternType="solid">
        <fgColor rgb="FFDDEEFF"/>
        <bgColor rgb="FFD6EAF8"/>
      </patternFill>
    </fill>
    <fill>
      <patternFill patternType="solid">
        <fgColor rgb="FFE2EFDA"/>
        <bgColor rgb="FFE8F5E9"/>
      </patternFill>
    </fill>
    <fill>
      <patternFill patternType="solid">
        <fgColor rgb="FFE8F5E9"/>
        <bgColor rgb="FFEBF5FB"/>
      </patternFill>
    </fill>
    <fill>
      <patternFill patternType="solid">
        <fgColor rgb="FFFCE4D6"/>
        <bgColor rgb="FFFFDCE1"/>
      </patternFill>
    </fill>
    <fill>
      <patternFill patternType="solid">
        <fgColor rgb="FFFFF8E1"/>
        <bgColor rgb="FFFFF2CC"/>
      </patternFill>
    </fill>
    <fill>
      <patternFill patternType="solid">
        <fgColor rgb="FFF3E5F5"/>
        <bgColor rgb="FFF2F2F2"/>
      </patternFill>
    </fill>
    <fill>
      <patternFill patternType="solid">
        <fgColor rgb="FFFFDCE1"/>
        <bgColor rgb="FFFCE4D6"/>
      </patternFill>
    </fill>
    <fill>
      <patternFill patternType="solid">
        <fgColor rgb="FFFFF2CC"/>
        <bgColor rgb="FFFFF8E1"/>
      </patternFill>
    </fill>
    <fill>
      <patternFill patternType="solid">
        <fgColor rgb="FFD6E4F0"/>
        <bgColor rgb="FFD6EAF8"/>
      </patternFill>
    </fill>
    <fill>
      <patternFill patternType="solid">
        <fgColor rgb="FFD6EAF8"/>
        <bgColor rgb="FFD6E4F0"/>
      </patternFill>
    </fill>
    <fill>
      <patternFill patternType="solid">
        <fgColor rgb="FFE8F0FE"/>
        <bgColor rgb="FFEBF5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8F5E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EBF5FB"/>
      <rgbColor rgb="FF993366"/>
      <rgbColor rgb="FFFFF8E1"/>
      <rgbColor rgb="FFDDEEFF"/>
      <rgbColor rgb="FF660066"/>
      <rgbColor rgb="FFFF8080"/>
      <rgbColor rgb="FF2E5FA3"/>
      <rgbColor rgb="FFD6E4F0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6EAF8"/>
      <rgbColor rgb="FFE2EFDA"/>
      <rgbColor rgb="FFFFF2CC"/>
      <rgbColor rgb="FFE8F0FE"/>
      <rgbColor rgb="FFFCE4D6"/>
      <rgbColor rgb="FFF3E5F5"/>
      <rgbColor rgb="FFFFDCE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25"/>
    <col collapsed="false" customWidth="true" hidden="false" outlineLevel="0" max="4" min="4" style="0" width="15"/>
  </cols>
  <sheetData>
    <row r="1" customFormat="false" ht="31.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4" customFormat="false" ht="19.5" hidden="false" customHeight="true" outlineLevel="0" collapsed="false">
      <c r="A4" s="3" t="s">
        <v>2</v>
      </c>
      <c r="B4" s="3"/>
      <c r="C4" s="3"/>
      <c r="D4" s="3"/>
    </row>
    <row r="5" customFormat="false" ht="27.75" hidden="false" customHeight="true" outlineLevel="0" collapsed="false">
      <c r="A5" s="4" t="s">
        <v>3</v>
      </c>
      <c r="B5" s="5" t="s">
        <v>4</v>
      </c>
      <c r="C5" s="5"/>
      <c r="D5" s="5"/>
    </row>
    <row r="6" customFormat="false" ht="27.75" hidden="false" customHeight="true" outlineLevel="0" collapsed="false">
      <c r="A6" s="4" t="s">
        <v>5</v>
      </c>
      <c r="B6" s="5" t="s">
        <v>6</v>
      </c>
      <c r="C6" s="5"/>
      <c r="D6" s="5"/>
    </row>
    <row r="7" customFormat="false" ht="27.75" hidden="false" customHeight="true" outlineLevel="0" collapsed="false">
      <c r="A7" s="4" t="s">
        <v>7</v>
      </c>
      <c r="B7" s="5" t="s">
        <v>8</v>
      </c>
      <c r="C7" s="5"/>
      <c r="D7" s="5"/>
    </row>
    <row r="8" customFormat="false" ht="27.75" hidden="false" customHeight="true" outlineLevel="0" collapsed="false">
      <c r="A8" s="4" t="s">
        <v>9</v>
      </c>
      <c r="B8" s="5" t="s">
        <v>10</v>
      </c>
      <c r="C8" s="5"/>
      <c r="D8" s="5"/>
    </row>
    <row r="9" customFormat="false" ht="27.75" hidden="false" customHeight="true" outlineLevel="0" collapsed="false">
      <c r="A9" s="4" t="s">
        <v>11</v>
      </c>
      <c r="B9" s="5" t="s">
        <v>12</v>
      </c>
      <c r="C9" s="5"/>
      <c r="D9" s="5"/>
    </row>
    <row r="11" customFormat="false" ht="19.5" hidden="false" customHeight="true" outlineLevel="0" collapsed="false">
      <c r="A11" s="3" t="s">
        <v>13</v>
      </c>
      <c r="B11" s="3"/>
      <c r="C11" s="3"/>
      <c r="D11" s="3"/>
    </row>
    <row r="12" customFormat="false" ht="27.75" hidden="false" customHeight="true" outlineLevel="0" collapsed="false">
      <c r="A12" s="4" t="s">
        <v>14</v>
      </c>
      <c r="B12" s="5" t="s">
        <v>15</v>
      </c>
      <c r="C12" s="5"/>
      <c r="D12" s="5"/>
    </row>
    <row r="13" customFormat="false" ht="27.75" hidden="false" customHeight="true" outlineLevel="0" collapsed="false">
      <c r="A13" s="4" t="s">
        <v>16</v>
      </c>
      <c r="B13" s="5" t="s">
        <v>17</v>
      </c>
      <c r="C13" s="5"/>
      <c r="D13" s="5"/>
    </row>
    <row r="14" customFormat="false" ht="27.75" hidden="false" customHeight="true" outlineLevel="0" collapsed="false">
      <c r="A14" s="4" t="s">
        <v>18</v>
      </c>
      <c r="B14" s="5" t="s">
        <v>19</v>
      </c>
      <c r="C14" s="5"/>
      <c r="D14" s="5"/>
    </row>
    <row r="15" customFormat="false" ht="27.75" hidden="false" customHeight="true" outlineLevel="0" collapsed="false">
      <c r="A15" s="4" t="s">
        <v>20</v>
      </c>
      <c r="B15" s="5" t="s">
        <v>21</v>
      </c>
      <c r="C15" s="5"/>
      <c r="D15" s="5"/>
    </row>
    <row r="17" customFormat="false" ht="19.5" hidden="false" customHeight="true" outlineLevel="0" collapsed="false">
      <c r="A17" s="3" t="s">
        <v>22</v>
      </c>
      <c r="B17" s="3"/>
      <c r="C17" s="3"/>
      <c r="D17" s="3"/>
    </row>
    <row r="18" customFormat="false" ht="27.75" hidden="false" customHeight="true" outlineLevel="0" collapsed="false">
      <c r="A18" s="4" t="s">
        <v>23</v>
      </c>
      <c r="B18" s="5" t="s">
        <v>24</v>
      </c>
      <c r="C18" s="5"/>
      <c r="D18" s="5"/>
    </row>
    <row r="19" customFormat="false" ht="27.75" hidden="false" customHeight="true" outlineLevel="0" collapsed="false">
      <c r="A19" s="4" t="s">
        <v>25</v>
      </c>
      <c r="B19" s="5" t="s">
        <v>26</v>
      </c>
      <c r="C19" s="5"/>
      <c r="D19" s="5"/>
    </row>
    <row r="20" customFormat="false" ht="27.75" hidden="false" customHeight="true" outlineLevel="0" collapsed="false">
      <c r="A20" s="4" t="s">
        <v>27</v>
      </c>
      <c r="B20" s="5" t="s">
        <v>28</v>
      </c>
      <c r="C20" s="5"/>
      <c r="D20" s="5"/>
    </row>
    <row r="22" customFormat="false" ht="19.5" hidden="false" customHeight="true" outlineLevel="0" collapsed="false">
      <c r="A22" s="3" t="s">
        <v>29</v>
      </c>
      <c r="B22" s="3"/>
      <c r="C22" s="3"/>
      <c r="D22" s="3"/>
    </row>
    <row r="23" customFormat="false" ht="27.75" hidden="false" customHeight="true" outlineLevel="0" collapsed="false">
      <c r="A23" s="4" t="s">
        <v>30</v>
      </c>
      <c r="B23" s="5" t="s">
        <v>31</v>
      </c>
      <c r="C23" s="5"/>
      <c r="D23" s="5"/>
    </row>
    <row r="24" customFormat="false" ht="27.75" hidden="false" customHeight="true" outlineLevel="0" collapsed="false">
      <c r="A24" s="4" t="s">
        <v>32</v>
      </c>
      <c r="B24" s="5" t="s">
        <v>33</v>
      </c>
      <c r="C24" s="5"/>
      <c r="D24" s="5"/>
    </row>
    <row r="25" customFormat="false" ht="27.75" hidden="false" customHeight="true" outlineLevel="0" collapsed="false">
      <c r="A25" s="4" t="s">
        <v>34</v>
      </c>
      <c r="B25" s="5" t="s">
        <v>35</v>
      </c>
      <c r="C25" s="5"/>
      <c r="D25" s="5"/>
    </row>
    <row r="26" customFormat="false" ht="27.75" hidden="false" customHeight="true" outlineLevel="0" collapsed="false">
      <c r="A26" s="4" t="s">
        <v>36</v>
      </c>
      <c r="B26" s="5" t="s">
        <v>37</v>
      </c>
      <c r="C26" s="5"/>
      <c r="D26" s="5"/>
    </row>
    <row r="28" customFormat="false" ht="19.5" hidden="false" customHeight="true" outlineLevel="0" collapsed="false">
      <c r="A28" s="3" t="s">
        <v>38</v>
      </c>
      <c r="B28" s="3"/>
      <c r="C28" s="3"/>
      <c r="D28" s="3"/>
    </row>
    <row r="29" customFormat="false" ht="27.75" hidden="false" customHeight="true" outlineLevel="0" collapsed="false">
      <c r="A29" s="4" t="s">
        <v>39</v>
      </c>
      <c r="B29" s="5" t="s">
        <v>40</v>
      </c>
      <c r="C29" s="5"/>
      <c r="D29" s="5"/>
    </row>
    <row r="30" customFormat="false" ht="27.75" hidden="false" customHeight="true" outlineLevel="0" collapsed="false">
      <c r="A30" s="4" t="s">
        <v>41</v>
      </c>
      <c r="B30" s="5" t="s">
        <v>42</v>
      </c>
      <c r="C30" s="5"/>
      <c r="D30" s="5"/>
    </row>
    <row r="31" customFormat="false" ht="27.75" hidden="false" customHeight="true" outlineLevel="0" collapsed="false">
      <c r="A31" s="4" t="s">
        <v>43</v>
      </c>
      <c r="B31" s="5" t="s">
        <v>44</v>
      </c>
      <c r="C31" s="5"/>
      <c r="D31" s="5"/>
    </row>
    <row r="33" customFormat="false" ht="19.5" hidden="false" customHeight="true" outlineLevel="0" collapsed="false">
      <c r="A33" s="3" t="s">
        <v>45</v>
      </c>
      <c r="B33" s="3"/>
      <c r="C33" s="3"/>
      <c r="D33" s="3"/>
    </row>
    <row r="34" customFormat="false" ht="27.75" hidden="false" customHeight="true" outlineLevel="0" collapsed="false">
      <c r="A34" s="4" t="s">
        <v>46</v>
      </c>
      <c r="B34" s="5" t="s">
        <v>47</v>
      </c>
      <c r="C34" s="5"/>
      <c r="D34" s="5"/>
    </row>
    <row r="35" customFormat="false" ht="27.75" hidden="false" customHeight="true" outlineLevel="0" collapsed="false">
      <c r="A35" s="4" t="s">
        <v>48</v>
      </c>
      <c r="B35" s="5" t="s">
        <v>49</v>
      </c>
      <c r="C35" s="5"/>
      <c r="D35" s="5"/>
    </row>
    <row r="36" customFormat="false" ht="27.75" hidden="false" customHeight="true" outlineLevel="0" collapsed="false">
      <c r="A36" s="4" t="s">
        <v>50</v>
      </c>
      <c r="B36" s="5" t="s">
        <v>51</v>
      </c>
      <c r="C36" s="5"/>
      <c r="D36" s="5"/>
    </row>
    <row r="37" customFormat="false" ht="27.75" hidden="false" customHeight="true" outlineLevel="0" collapsed="false">
      <c r="A37" s="4" t="s">
        <v>52</v>
      </c>
      <c r="B37" s="5" t="s">
        <v>53</v>
      </c>
      <c r="C37" s="5"/>
      <c r="D37" s="5"/>
    </row>
    <row r="38" customFormat="false" ht="27.75" hidden="false" customHeight="true" outlineLevel="0" collapsed="false">
      <c r="A38" s="4" t="s">
        <v>54</v>
      </c>
      <c r="B38" s="5" t="s">
        <v>55</v>
      </c>
      <c r="C38" s="5"/>
      <c r="D38" s="5"/>
    </row>
    <row r="39" customFormat="false" ht="27.75" hidden="false" customHeight="true" outlineLevel="0" collapsed="false">
      <c r="A39" s="4" t="s">
        <v>56</v>
      </c>
      <c r="B39" s="5" t="s">
        <v>57</v>
      </c>
      <c r="C39" s="5"/>
      <c r="D39" s="5"/>
    </row>
  </sheetData>
  <mergeCells count="33">
    <mergeCell ref="A1:D1"/>
    <mergeCell ref="A2:D2"/>
    <mergeCell ref="A4:D4"/>
    <mergeCell ref="B5:D5"/>
    <mergeCell ref="B6:D6"/>
    <mergeCell ref="B7:D7"/>
    <mergeCell ref="B8:D8"/>
    <mergeCell ref="B9:D9"/>
    <mergeCell ref="A11:D11"/>
    <mergeCell ref="B12:D12"/>
    <mergeCell ref="B13:D13"/>
    <mergeCell ref="B14:D14"/>
    <mergeCell ref="B15:D15"/>
    <mergeCell ref="A17:D17"/>
    <mergeCell ref="B18:D18"/>
    <mergeCell ref="B19:D19"/>
    <mergeCell ref="B20:D20"/>
    <mergeCell ref="A22:D22"/>
    <mergeCell ref="B23:D23"/>
    <mergeCell ref="B24:D24"/>
    <mergeCell ref="B25:D25"/>
    <mergeCell ref="B26:D26"/>
    <mergeCell ref="A28:D28"/>
    <mergeCell ref="B29:D29"/>
    <mergeCell ref="B30:D30"/>
    <mergeCell ref="B31:D31"/>
    <mergeCell ref="A33:D33"/>
    <mergeCell ref="B34:D34"/>
    <mergeCell ref="B35:D35"/>
    <mergeCell ref="B36:D36"/>
    <mergeCell ref="B37:D37"/>
    <mergeCell ref="B38:D38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9" min="7" style="0" width="13"/>
    <col collapsed="false" customWidth="true" hidden="false" outlineLevel="0" max="10" min="10" style="0" width="26"/>
    <col collapsed="false" customWidth="true" hidden="false" outlineLevel="0" max="13" min="11" style="0" width="8"/>
    <col collapsed="false" customWidth="true" hidden="false" outlineLevel="0" max="14" min="14" style="0" width="30"/>
  </cols>
  <sheetData>
    <row r="1" customFormat="false" ht="30" hidden="false" customHeight="true" outlineLevel="0" collapsed="false">
      <c r="A1" s="6" t="s">
        <v>58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customFormat="false" ht="15.75" hidden="false" customHeight="true" outlineLevel="0" collapsed="false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9.75" hidden="false" customHeight="true" outlineLevel="0" collapsed="false">
      <c r="A3" s="7" t="s">
        <v>60</v>
      </c>
      <c r="B3" s="7" t="s">
        <v>61</v>
      </c>
      <c r="C3" s="7" t="s">
        <v>62</v>
      </c>
      <c r="D3" s="7" t="s">
        <v>63</v>
      </c>
      <c r="E3" s="7" t="s">
        <v>64</v>
      </c>
      <c r="F3" s="7" t="s">
        <v>65</v>
      </c>
      <c r="G3" s="7" t="s">
        <v>66</v>
      </c>
      <c r="H3" s="7" t="s">
        <v>67</v>
      </c>
      <c r="I3" s="7" t="s">
        <v>68</v>
      </c>
      <c r="J3" s="7" t="s">
        <v>69</v>
      </c>
      <c r="K3" s="7" t="s">
        <v>70</v>
      </c>
      <c r="L3" s="7" t="s">
        <v>71</v>
      </c>
      <c r="M3" s="7" t="s">
        <v>72</v>
      </c>
      <c r="N3" s="7" t="s">
        <v>73</v>
      </c>
    </row>
    <row r="4" customFormat="false" ht="18" hidden="false" customHeight="true" outlineLevel="0" collapsed="false">
      <c r="A4" s="8" t="s">
        <v>46</v>
      </c>
      <c r="B4" s="9" t="s">
        <v>74</v>
      </c>
      <c r="C4" s="10" t="s">
        <v>75</v>
      </c>
      <c r="D4" s="8" t="s">
        <v>76</v>
      </c>
      <c r="E4" s="11" t="n">
        <v>8500</v>
      </c>
      <c r="F4" s="12" t="s">
        <v>77</v>
      </c>
      <c r="G4" s="13" t="n">
        <v>9200</v>
      </c>
      <c r="H4" s="13" t="n">
        <v>8700</v>
      </c>
      <c r="I4" s="14" t="n">
        <v>-0.0760869565217391</v>
      </c>
      <c r="J4" s="15" t="s">
        <v>78</v>
      </c>
      <c r="K4" s="10" t="s">
        <v>77</v>
      </c>
      <c r="L4" s="10" t="s">
        <v>77</v>
      </c>
      <c r="M4" s="10" t="s">
        <v>77</v>
      </c>
      <c r="N4" s="8" t="s">
        <v>79</v>
      </c>
    </row>
    <row r="5" customFormat="false" ht="18" hidden="false" customHeight="true" outlineLevel="0" collapsed="false">
      <c r="A5" s="8" t="s">
        <v>46</v>
      </c>
      <c r="B5" s="9" t="s">
        <v>80</v>
      </c>
      <c r="C5" s="10" t="s">
        <v>75</v>
      </c>
      <c r="D5" s="8" t="s">
        <v>76</v>
      </c>
      <c r="E5" s="11" t="n">
        <v>18000</v>
      </c>
      <c r="F5" s="12" t="s">
        <v>77</v>
      </c>
      <c r="G5" s="13" t="n">
        <v>19400</v>
      </c>
      <c r="H5" s="13" t="n">
        <v>18400</v>
      </c>
      <c r="I5" s="14" t="n">
        <v>-0.0721649484536082</v>
      </c>
      <c r="J5" s="15" t="s">
        <v>78</v>
      </c>
      <c r="K5" s="10" t="s">
        <v>77</v>
      </c>
      <c r="L5" s="10" t="s">
        <v>77</v>
      </c>
      <c r="M5" s="10" t="s">
        <v>77</v>
      </c>
      <c r="N5" s="8" t="s">
        <v>81</v>
      </c>
    </row>
    <row r="6" customFormat="false" ht="18" hidden="false" customHeight="true" outlineLevel="0" collapsed="false">
      <c r="A6" s="8" t="s">
        <v>46</v>
      </c>
      <c r="B6" s="9" t="s">
        <v>82</v>
      </c>
      <c r="C6" s="10" t="s">
        <v>75</v>
      </c>
      <c r="D6" s="8" t="s">
        <v>76</v>
      </c>
      <c r="E6" s="11" t="n">
        <v>42000</v>
      </c>
      <c r="F6" s="12" t="s">
        <v>77</v>
      </c>
      <c r="G6" s="13" t="n">
        <v>45400</v>
      </c>
      <c r="H6" s="13" t="n">
        <v>43100</v>
      </c>
      <c r="I6" s="14" t="n">
        <v>-0.0748898678414097</v>
      </c>
      <c r="J6" s="15" t="s">
        <v>78</v>
      </c>
      <c r="K6" s="10" t="s">
        <v>77</v>
      </c>
      <c r="L6" s="10" t="s">
        <v>77</v>
      </c>
      <c r="M6" s="10" t="s">
        <v>77</v>
      </c>
      <c r="N6" s="8" t="s">
        <v>83</v>
      </c>
    </row>
    <row r="7" customFormat="false" ht="18" hidden="false" customHeight="true" outlineLevel="0" collapsed="false">
      <c r="A7" s="8" t="s">
        <v>46</v>
      </c>
      <c r="B7" s="9" t="s">
        <v>84</v>
      </c>
      <c r="C7" s="10" t="s">
        <v>75</v>
      </c>
      <c r="D7" s="8" t="s">
        <v>76</v>
      </c>
      <c r="E7" s="11" t="n">
        <v>22000</v>
      </c>
      <c r="F7" s="12" t="s">
        <v>77</v>
      </c>
      <c r="G7" s="13" t="n">
        <v>23800</v>
      </c>
      <c r="H7" s="13" t="n">
        <v>22600</v>
      </c>
      <c r="I7" s="14" t="n">
        <v>-0.0756302521008403</v>
      </c>
      <c r="J7" s="15" t="s">
        <v>78</v>
      </c>
      <c r="K7" s="10" t="s">
        <v>77</v>
      </c>
      <c r="L7" s="10" t="s">
        <v>77</v>
      </c>
      <c r="M7" s="10" t="s">
        <v>77</v>
      </c>
      <c r="N7" s="8" t="s">
        <v>85</v>
      </c>
    </row>
    <row r="8" customFormat="false" ht="18" hidden="false" customHeight="true" outlineLevel="0" collapsed="false">
      <c r="A8" s="8" t="s">
        <v>46</v>
      </c>
      <c r="B8" s="9" t="s">
        <v>86</v>
      </c>
      <c r="C8" s="10" t="s">
        <v>75</v>
      </c>
      <c r="D8" s="8" t="s">
        <v>76</v>
      </c>
      <c r="E8" s="11" t="n">
        <v>32000</v>
      </c>
      <c r="F8" s="12" t="s">
        <v>77</v>
      </c>
      <c r="G8" s="13" t="n">
        <v>34600</v>
      </c>
      <c r="H8" s="13" t="n">
        <v>32900</v>
      </c>
      <c r="I8" s="14" t="n">
        <v>-0.0751445086705202</v>
      </c>
      <c r="J8" s="15" t="s">
        <v>78</v>
      </c>
      <c r="K8" s="10" t="s">
        <v>77</v>
      </c>
      <c r="L8" s="10" t="s">
        <v>77</v>
      </c>
      <c r="M8" s="10" t="s">
        <v>77</v>
      </c>
      <c r="N8" s="8" t="s">
        <v>87</v>
      </c>
    </row>
    <row r="9" customFormat="false" ht="18" hidden="false" customHeight="true" outlineLevel="0" collapsed="false">
      <c r="A9" s="8" t="s">
        <v>46</v>
      </c>
      <c r="B9" s="9" t="s">
        <v>88</v>
      </c>
      <c r="C9" s="10" t="s">
        <v>75</v>
      </c>
      <c r="D9" s="8" t="s">
        <v>76</v>
      </c>
      <c r="E9" s="11" t="n">
        <v>4500</v>
      </c>
      <c r="F9" s="12" t="s">
        <v>77</v>
      </c>
      <c r="G9" s="13" t="n">
        <v>4900</v>
      </c>
      <c r="H9" s="13" t="n">
        <v>4700</v>
      </c>
      <c r="I9" s="14" t="n">
        <v>-0.0816326530612245</v>
      </c>
      <c r="J9" s="15" t="s">
        <v>78</v>
      </c>
      <c r="K9" s="10" t="s">
        <v>77</v>
      </c>
      <c r="L9" s="10" t="s">
        <v>77</v>
      </c>
      <c r="M9" s="10" t="s">
        <v>77</v>
      </c>
      <c r="N9" s="8" t="s">
        <v>89</v>
      </c>
    </row>
    <row r="10" customFormat="false" ht="18" hidden="false" customHeight="true" outlineLevel="0" collapsed="false">
      <c r="A10" s="8" t="s">
        <v>46</v>
      </c>
      <c r="B10" s="9" t="s">
        <v>90</v>
      </c>
      <c r="C10" s="10" t="s">
        <v>75</v>
      </c>
      <c r="D10" s="8" t="s">
        <v>76</v>
      </c>
      <c r="E10" s="11" t="n">
        <v>9500</v>
      </c>
      <c r="F10" s="12" t="s">
        <v>77</v>
      </c>
      <c r="G10" s="13" t="n">
        <v>10300</v>
      </c>
      <c r="H10" s="13" t="n">
        <v>9800</v>
      </c>
      <c r="I10" s="14" t="n">
        <v>-0.0776699029126214</v>
      </c>
      <c r="J10" s="15" t="s">
        <v>78</v>
      </c>
      <c r="K10" s="10" t="s">
        <v>77</v>
      </c>
      <c r="L10" s="10" t="s">
        <v>77</v>
      </c>
      <c r="M10" s="10" t="s">
        <v>77</v>
      </c>
      <c r="N10" s="8" t="s">
        <v>91</v>
      </c>
    </row>
    <row r="11" customFormat="false" ht="18" hidden="false" customHeight="true" outlineLevel="0" collapsed="false">
      <c r="A11" s="8" t="s">
        <v>46</v>
      </c>
      <c r="B11" s="9" t="s">
        <v>92</v>
      </c>
      <c r="C11" s="10" t="s">
        <v>75</v>
      </c>
      <c r="D11" s="8" t="s">
        <v>76</v>
      </c>
      <c r="E11" s="11" t="n">
        <v>5500</v>
      </c>
      <c r="F11" s="12" t="s">
        <v>77</v>
      </c>
      <c r="G11" s="13" t="n">
        <v>5900</v>
      </c>
      <c r="H11" s="13" t="n">
        <v>5600</v>
      </c>
      <c r="I11" s="14" t="n">
        <v>-0.0677966101694915</v>
      </c>
      <c r="J11" s="15" t="s">
        <v>78</v>
      </c>
      <c r="K11" s="10" t="s">
        <v>77</v>
      </c>
      <c r="L11" s="10" t="s">
        <v>77</v>
      </c>
      <c r="M11" s="10" t="s">
        <v>77</v>
      </c>
      <c r="N11" s="8" t="s">
        <v>93</v>
      </c>
    </row>
    <row r="12" customFormat="false" ht="18" hidden="false" customHeight="true" outlineLevel="0" collapsed="false">
      <c r="A12" s="8" t="s">
        <v>46</v>
      </c>
      <c r="B12" s="9" t="s">
        <v>94</v>
      </c>
      <c r="C12" s="10" t="s">
        <v>75</v>
      </c>
      <c r="D12" s="8" t="s">
        <v>76</v>
      </c>
      <c r="E12" s="11" t="n">
        <v>28000</v>
      </c>
      <c r="F12" s="12" t="s">
        <v>77</v>
      </c>
      <c r="G12" s="13" t="n">
        <v>30200</v>
      </c>
      <c r="H12" s="13" t="n">
        <v>28700</v>
      </c>
      <c r="I12" s="14" t="n">
        <v>-0.0728476821192053</v>
      </c>
      <c r="J12" s="15" t="s">
        <v>78</v>
      </c>
      <c r="K12" s="10" t="s">
        <v>77</v>
      </c>
      <c r="L12" s="10" t="s">
        <v>77</v>
      </c>
      <c r="M12" s="10" t="s">
        <v>77</v>
      </c>
      <c r="N12" s="8" t="s">
        <v>95</v>
      </c>
    </row>
    <row r="13" customFormat="false" ht="18" hidden="false" customHeight="true" outlineLevel="0" collapsed="false">
      <c r="A13" s="8" t="s">
        <v>46</v>
      </c>
      <c r="B13" s="9" t="s">
        <v>96</v>
      </c>
      <c r="C13" s="10" t="s">
        <v>75</v>
      </c>
      <c r="D13" s="8" t="s">
        <v>76</v>
      </c>
      <c r="E13" s="11" t="n">
        <v>14000</v>
      </c>
      <c r="F13" s="12" t="s">
        <v>77</v>
      </c>
      <c r="G13" s="13" t="n">
        <v>15100</v>
      </c>
      <c r="H13" s="13" t="n">
        <v>14300</v>
      </c>
      <c r="I13" s="14" t="n">
        <v>-0.0728476821192053</v>
      </c>
      <c r="J13" s="15" t="s">
        <v>78</v>
      </c>
      <c r="K13" s="10" t="s">
        <v>77</v>
      </c>
      <c r="L13" s="10" t="s">
        <v>77</v>
      </c>
      <c r="M13" s="10" t="s">
        <v>77</v>
      </c>
      <c r="N13" s="8" t="s">
        <v>97</v>
      </c>
    </row>
    <row r="14" customFormat="false" ht="18" hidden="false" customHeight="true" outlineLevel="0" collapsed="false">
      <c r="A14" s="8" t="s">
        <v>46</v>
      </c>
      <c r="B14" s="9" t="s">
        <v>98</v>
      </c>
      <c r="C14" s="10" t="s">
        <v>75</v>
      </c>
      <c r="D14" s="8" t="s">
        <v>76</v>
      </c>
      <c r="E14" s="11" t="n">
        <v>6500</v>
      </c>
      <c r="F14" s="12" t="s">
        <v>77</v>
      </c>
      <c r="G14" s="13" t="n">
        <v>7000</v>
      </c>
      <c r="H14" s="13" t="n">
        <v>6600</v>
      </c>
      <c r="I14" s="14" t="n">
        <v>-0.0714285714285714</v>
      </c>
      <c r="J14" s="15" t="s">
        <v>78</v>
      </c>
      <c r="K14" s="10" t="s">
        <v>77</v>
      </c>
      <c r="L14" s="10" t="s">
        <v>77</v>
      </c>
      <c r="M14" s="10" t="s">
        <v>77</v>
      </c>
      <c r="N14" s="8" t="s">
        <v>99</v>
      </c>
    </row>
    <row r="15" customFormat="false" ht="18" hidden="false" customHeight="true" outlineLevel="0" collapsed="false">
      <c r="A15" s="8" t="s">
        <v>46</v>
      </c>
      <c r="B15" s="9" t="s">
        <v>100</v>
      </c>
      <c r="C15" s="10" t="s">
        <v>75</v>
      </c>
      <c r="D15" s="8" t="s">
        <v>76</v>
      </c>
      <c r="E15" s="11" t="n">
        <v>3500</v>
      </c>
      <c r="F15" s="12" t="s">
        <v>77</v>
      </c>
      <c r="G15" s="13" t="n">
        <v>3800</v>
      </c>
      <c r="H15" s="13" t="n">
        <v>3600</v>
      </c>
      <c r="I15" s="14" t="n">
        <v>-0.0789473684210526</v>
      </c>
      <c r="J15" s="15" t="s">
        <v>78</v>
      </c>
      <c r="K15" s="10" t="s">
        <v>77</v>
      </c>
      <c r="L15" s="10" t="s">
        <v>77</v>
      </c>
      <c r="M15" s="10" t="s">
        <v>77</v>
      </c>
      <c r="N15" s="8" t="s">
        <v>101</v>
      </c>
    </row>
    <row r="16" customFormat="false" ht="18" hidden="false" customHeight="true" outlineLevel="0" collapsed="false">
      <c r="A16" s="16" t="s">
        <v>48</v>
      </c>
      <c r="B16" s="9" t="s">
        <v>102</v>
      </c>
      <c r="C16" s="10" t="s">
        <v>75</v>
      </c>
      <c r="D16" s="16" t="s">
        <v>76</v>
      </c>
      <c r="E16" s="11" t="n">
        <v>3500</v>
      </c>
      <c r="F16" s="12" t="s">
        <v>77</v>
      </c>
      <c r="G16" s="13" t="n">
        <v>3900</v>
      </c>
      <c r="H16" s="13" t="n">
        <v>3700</v>
      </c>
      <c r="I16" s="17" t="n">
        <v>-0.102564102564103</v>
      </c>
      <c r="J16" s="18" t="s">
        <v>103</v>
      </c>
      <c r="K16" s="10" t="s">
        <v>77</v>
      </c>
      <c r="L16" s="10" t="s">
        <v>77</v>
      </c>
      <c r="M16" s="10" t="s">
        <v>77</v>
      </c>
      <c r="N16" s="16" t="s">
        <v>104</v>
      </c>
    </row>
    <row r="17" customFormat="false" ht="18" hidden="false" customHeight="true" outlineLevel="0" collapsed="false">
      <c r="A17" s="16" t="s">
        <v>48</v>
      </c>
      <c r="B17" s="9" t="s">
        <v>105</v>
      </c>
      <c r="C17" s="10" t="s">
        <v>75</v>
      </c>
      <c r="D17" s="16" t="s">
        <v>76</v>
      </c>
      <c r="E17" s="11" t="n">
        <v>8500</v>
      </c>
      <c r="F17" s="12" t="s">
        <v>77</v>
      </c>
      <c r="G17" s="13" t="n">
        <v>9400</v>
      </c>
      <c r="H17" s="13" t="n">
        <v>8900</v>
      </c>
      <c r="I17" s="14" t="n">
        <v>-0.0957446808510638</v>
      </c>
      <c r="J17" s="15" t="s">
        <v>78</v>
      </c>
      <c r="K17" s="10" t="s">
        <v>77</v>
      </c>
      <c r="L17" s="10" t="s">
        <v>77</v>
      </c>
      <c r="M17" s="10" t="s">
        <v>77</v>
      </c>
      <c r="N17" s="16" t="s">
        <v>106</v>
      </c>
    </row>
    <row r="18" customFormat="false" ht="18" hidden="false" customHeight="true" outlineLevel="0" collapsed="false">
      <c r="A18" s="16" t="s">
        <v>48</v>
      </c>
      <c r="B18" s="9" t="s">
        <v>107</v>
      </c>
      <c r="C18" s="10" t="s">
        <v>75</v>
      </c>
      <c r="D18" s="16" t="s">
        <v>76</v>
      </c>
      <c r="E18" s="11" t="n">
        <v>15000</v>
      </c>
      <c r="F18" s="12" t="s">
        <v>77</v>
      </c>
      <c r="G18" s="13" t="n">
        <v>16500</v>
      </c>
      <c r="H18" s="13" t="n">
        <v>15700</v>
      </c>
      <c r="I18" s="14" t="n">
        <v>-0.0909090909090909</v>
      </c>
      <c r="J18" s="15" t="s">
        <v>78</v>
      </c>
      <c r="K18" s="10" t="s">
        <v>77</v>
      </c>
      <c r="L18" s="10" t="s">
        <v>77</v>
      </c>
      <c r="M18" s="10" t="s">
        <v>77</v>
      </c>
      <c r="N18" s="16" t="s">
        <v>108</v>
      </c>
    </row>
    <row r="19" customFormat="false" ht="18" hidden="false" customHeight="true" outlineLevel="0" collapsed="false">
      <c r="A19" s="16" t="s">
        <v>48</v>
      </c>
      <c r="B19" s="9" t="s">
        <v>109</v>
      </c>
      <c r="C19" s="10" t="s">
        <v>75</v>
      </c>
      <c r="D19" s="16" t="s">
        <v>76</v>
      </c>
      <c r="E19" s="11" t="n">
        <v>4500</v>
      </c>
      <c r="F19" s="12" t="s">
        <v>77</v>
      </c>
      <c r="G19" s="13" t="n">
        <v>5000</v>
      </c>
      <c r="H19" s="13" t="n">
        <v>4800</v>
      </c>
      <c r="I19" s="17" t="n">
        <v>-0.1</v>
      </c>
      <c r="J19" s="18" t="s">
        <v>103</v>
      </c>
      <c r="K19" s="10" t="s">
        <v>77</v>
      </c>
      <c r="L19" s="10" t="s">
        <v>77</v>
      </c>
      <c r="M19" s="10" t="s">
        <v>77</v>
      </c>
      <c r="N19" s="16" t="s">
        <v>110</v>
      </c>
    </row>
    <row r="20" customFormat="false" ht="18" hidden="false" customHeight="true" outlineLevel="0" collapsed="false">
      <c r="A20" s="16" t="s">
        <v>48</v>
      </c>
      <c r="B20" s="9" t="s">
        <v>111</v>
      </c>
      <c r="C20" s="10" t="s">
        <v>75</v>
      </c>
      <c r="D20" s="16" t="s">
        <v>76</v>
      </c>
      <c r="E20" s="11" t="n">
        <v>3000</v>
      </c>
      <c r="F20" s="12" t="s">
        <v>77</v>
      </c>
      <c r="G20" s="13" t="n">
        <v>3300</v>
      </c>
      <c r="H20" s="13" t="n">
        <v>3100</v>
      </c>
      <c r="I20" s="14" t="n">
        <v>-0.0909090909090909</v>
      </c>
      <c r="J20" s="15" t="s">
        <v>78</v>
      </c>
      <c r="K20" s="10" t="s">
        <v>77</v>
      </c>
      <c r="L20" s="10" t="s">
        <v>77</v>
      </c>
      <c r="M20" s="10" t="s">
        <v>77</v>
      </c>
      <c r="N20" s="16" t="s">
        <v>112</v>
      </c>
    </row>
    <row r="21" customFormat="false" ht="18" hidden="false" customHeight="true" outlineLevel="0" collapsed="false">
      <c r="A21" s="16" t="s">
        <v>48</v>
      </c>
      <c r="B21" s="9" t="s">
        <v>113</v>
      </c>
      <c r="C21" s="10" t="s">
        <v>75</v>
      </c>
      <c r="D21" s="16" t="s">
        <v>76</v>
      </c>
      <c r="E21" s="11" t="n">
        <v>5500</v>
      </c>
      <c r="F21" s="12" t="s">
        <v>77</v>
      </c>
      <c r="G21" s="13" t="n">
        <v>6100</v>
      </c>
      <c r="H21" s="13" t="n">
        <v>5800</v>
      </c>
      <c r="I21" s="14" t="n">
        <v>-0.0983606557377049</v>
      </c>
      <c r="J21" s="15" t="s">
        <v>78</v>
      </c>
      <c r="K21" s="10" t="s">
        <v>77</v>
      </c>
      <c r="L21" s="10" t="s">
        <v>77</v>
      </c>
      <c r="M21" s="10" t="s">
        <v>77</v>
      </c>
      <c r="N21" s="16" t="s">
        <v>114</v>
      </c>
    </row>
    <row r="22" customFormat="false" ht="18" hidden="false" customHeight="true" outlineLevel="0" collapsed="false">
      <c r="A22" s="16" t="s">
        <v>48</v>
      </c>
      <c r="B22" s="9" t="s">
        <v>115</v>
      </c>
      <c r="C22" s="10" t="s">
        <v>75</v>
      </c>
      <c r="D22" s="16" t="s">
        <v>76</v>
      </c>
      <c r="E22" s="11" t="n">
        <v>4000</v>
      </c>
      <c r="F22" s="12" t="s">
        <v>77</v>
      </c>
      <c r="G22" s="13" t="n">
        <v>4400</v>
      </c>
      <c r="H22" s="13" t="n">
        <v>4200</v>
      </c>
      <c r="I22" s="14" t="n">
        <v>-0.0909090909090909</v>
      </c>
      <c r="J22" s="15" t="s">
        <v>78</v>
      </c>
      <c r="K22" s="10" t="s">
        <v>77</v>
      </c>
      <c r="L22" s="10" t="s">
        <v>77</v>
      </c>
      <c r="M22" s="10" t="s">
        <v>77</v>
      </c>
      <c r="N22" s="16" t="s">
        <v>116</v>
      </c>
    </row>
    <row r="23" customFormat="false" ht="18" hidden="false" customHeight="true" outlineLevel="0" collapsed="false">
      <c r="A23" s="16" t="s">
        <v>48</v>
      </c>
      <c r="B23" s="9" t="s">
        <v>117</v>
      </c>
      <c r="C23" s="10" t="s">
        <v>75</v>
      </c>
      <c r="D23" s="16" t="s">
        <v>76</v>
      </c>
      <c r="E23" s="11" t="n">
        <v>12000</v>
      </c>
      <c r="F23" s="12" t="s">
        <v>77</v>
      </c>
      <c r="G23" s="13" t="n">
        <v>13200</v>
      </c>
      <c r="H23" s="13" t="n">
        <v>12500</v>
      </c>
      <c r="I23" s="14" t="n">
        <v>-0.0909090909090909</v>
      </c>
      <c r="J23" s="15" t="s">
        <v>78</v>
      </c>
      <c r="K23" s="10" t="s">
        <v>77</v>
      </c>
      <c r="L23" s="10" t="s">
        <v>77</v>
      </c>
      <c r="M23" s="10" t="s">
        <v>77</v>
      </c>
      <c r="N23" s="16" t="s">
        <v>118</v>
      </c>
    </row>
    <row r="24" customFormat="false" ht="18" hidden="false" customHeight="true" outlineLevel="0" collapsed="false">
      <c r="A24" s="16" t="s">
        <v>48</v>
      </c>
      <c r="B24" s="9" t="s">
        <v>119</v>
      </c>
      <c r="C24" s="10" t="s">
        <v>75</v>
      </c>
      <c r="D24" s="16" t="s">
        <v>76</v>
      </c>
      <c r="E24" s="11" t="n">
        <v>5000</v>
      </c>
      <c r="F24" s="12" t="s">
        <v>77</v>
      </c>
      <c r="G24" s="13" t="n">
        <v>5500</v>
      </c>
      <c r="H24" s="13" t="n">
        <v>5200</v>
      </c>
      <c r="I24" s="14" t="n">
        <v>-0.0909090909090909</v>
      </c>
      <c r="J24" s="15" t="s">
        <v>78</v>
      </c>
      <c r="K24" s="10" t="s">
        <v>77</v>
      </c>
      <c r="L24" s="10" t="s">
        <v>77</v>
      </c>
      <c r="M24" s="10" t="s">
        <v>77</v>
      </c>
      <c r="N24" s="16" t="s">
        <v>120</v>
      </c>
    </row>
    <row r="25" customFormat="false" ht="18" hidden="false" customHeight="true" outlineLevel="0" collapsed="false">
      <c r="A25" s="16" t="s">
        <v>48</v>
      </c>
      <c r="B25" s="9" t="s">
        <v>121</v>
      </c>
      <c r="C25" s="10" t="s">
        <v>75</v>
      </c>
      <c r="D25" s="16" t="s">
        <v>76</v>
      </c>
      <c r="E25" s="11" t="n">
        <v>3500</v>
      </c>
      <c r="F25" s="12" t="s">
        <v>77</v>
      </c>
      <c r="G25" s="13" t="n">
        <v>3900</v>
      </c>
      <c r="H25" s="13" t="n">
        <v>3700</v>
      </c>
      <c r="I25" s="17" t="n">
        <v>-0.102564102564103</v>
      </c>
      <c r="J25" s="18" t="s">
        <v>103</v>
      </c>
      <c r="K25" s="10" t="s">
        <v>77</v>
      </c>
      <c r="L25" s="10" t="s">
        <v>77</v>
      </c>
      <c r="M25" s="10" t="s">
        <v>77</v>
      </c>
      <c r="N25" s="16" t="s">
        <v>122</v>
      </c>
    </row>
    <row r="26" customFormat="false" ht="18" hidden="false" customHeight="true" outlineLevel="0" collapsed="false">
      <c r="A26" s="16" t="s">
        <v>48</v>
      </c>
      <c r="B26" s="9" t="s">
        <v>123</v>
      </c>
      <c r="C26" s="10" t="s">
        <v>75</v>
      </c>
      <c r="D26" s="16" t="s">
        <v>76</v>
      </c>
      <c r="E26" s="11" t="n">
        <v>6500</v>
      </c>
      <c r="F26" s="12" t="s">
        <v>77</v>
      </c>
      <c r="G26" s="13" t="n">
        <v>7200</v>
      </c>
      <c r="H26" s="13" t="n">
        <v>6800</v>
      </c>
      <c r="I26" s="14" t="n">
        <v>-0.0972222222222222</v>
      </c>
      <c r="J26" s="15" t="s">
        <v>78</v>
      </c>
      <c r="K26" s="10" t="s">
        <v>77</v>
      </c>
      <c r="L26" s="10" t="s">
        <v>77</v>
      </c>
      <c r="M26" s="10" t="s">
        <v>77</v>
      </c>
      <c r="N26" s="16" t="s">
        <v>124</v>
      </c>
    </row>
    <row r="27" customFormat="false" ht="18" hidden="false" customHeight="true" outlineLevel="0" collapsed="false">
      <c r="A27" s="19" t="s">
        <v>50</v>
      </c>
      <c r="B27" s="9" t="s">
        <v>125</v>
      </c>
      <c r="C27" s="10" t="s">
        <v>75</v>
      </c>
      <c r="D27" s="19" t="s">
        <v>76</v>
      </c>
      <c r="E27" s="11" t="n">
        <v>12000</v>
      </c>
      <c r="F27" s="12" t="s">
        <v>77</v>
      </c>
      <c r="G27" s="13" t="n">
        <v>13400</v>
      </c>
      <c r="H27" s="13" t="n">
        <v>12700</v>
      </c>
      <c r="I27" s="17" t="n">
        <v>-0.104477611940299</v>
      </c>
      <c r="J27" s="18" t="s">
        <v>103</v>
      </c>
      <c r="K27" s="10" t="s">
        <v>77</v>
      </c>
      <c r="L27" s="10" t="s">
        <v>77</v>
      </c>
      <c r="M27" s="10" t="s">
        <v>77</v>
      </c>
      <c r="N27" s="19" t="s">
        <v>126</v>
      </c>
    </row>
    <row r="28" customFormat="false" ht="18" hidden="false" customHeight="true" outlineLevel="0" collapsed="false">
      <c r="A28" s="19" t="s">
        <v>50</v>
      </c>
      <c r="B28" s="9" t="s">
        <v>127</v>
      </c>
      <c r="C28" s="10" t="s">
        <v>75</v>
      </c>
      <c r="D28" s="19" t="s">
        <v>76</v>
      </c>
      <c r="E28" s="11" t="n">
        <v>6500</v>
      </c>
      <c r="F28" s="12" t="s">
        <v>77</v>
      </c>
      <c r="G28" s="13" t="n">
        <v>7300</v>
      </c>
      <c r="H28" s="13" t="n">
        <v>6900</v>
      </c>
      <c r="I28" s="17" t="n">
        <v>-0.10958904109589</v>
      </c>
      <c r="J28" s="18" t="s">
        <v>103</v>
      </c>
      <c r="K28" s="10" t="s">
        <v>77</v>
      </c>
      <c r="L28" s="10" t="s">
        <v>77</v>
      </c>
      <c r="M28" s="10" t="s">
        <v>77</v>
      </c>
      <c r="N28" s="19" t="s">
        <v>128</v>
      </c>
    </row>
    <row r="29" customFormat="false" ht="18" hidden="false" customHeight="true" outlineLevel="0" collapsed="false">
      <c r="A29" s="19" t="s">
        <v>50</v>
      </c>
      <c r="B29" s="9" t="s">
        <v>129</v>
      </c>
      <c r="C29" s="10" t="s">
        <v>75</v>
      </c>
      <c r="D29" s="19" t="s">
        <v>76</v>
      </c>
      <c r="E29" s="11" t="n">
        <v>14000</v>
      </c>
      <c r="F29" s="12" t="s">
        <v>77</v>
      </c>
      <c r="G29" s="13" t="n">
        <v>15700</v>
      </c>
      <c r="H29" s="13" t="n">
        <v>14900</v>
      </c>
      <c r="I29" s="17" t="n">
        <v>-0.10828025477707</v>
      </c>
      <c r="J29" s="18" t="s">
        <v>103</v>
      </c>
      <c r="K29" s="10" t="s">
        <v>77</v>
      </c>
      <c r="L29" s="10" t="s">
        <v>77</v>
      </c>
      <c r="M29" s="10" t="s">
        <v>77</v>
      </c>
      <c r="N29" s="19" t="s">
        <v>130</v>
      </c>
    </row>
    <row r="30" customFormat="false" ht="18" hidden="false" customHeight="true" outlineLevel="0" collapsed="false">
      <c r="A30" s="19" t="s">
        <v>50</v>
      </c>
      <c r="B30" s="9" t="s">
        <v>131</v>
      </c>
      <c r="C30" s="10" t="s">
        <v>75</v>
      </c>
      <c r="D30" s="19" t="s">
        <v>76</v>
      </c>
      <c r="E30" s="11" t="n">
        <v>5500</v>
      </c>
      <c r="F30" s="12" t="s">
        <v>77</v>
      </c>
      <c r="G30" s="13" t="n">
        <v>6200</v>
      </c>
      <c r="H30" s="13" t="n">
        <v>5900</v>
      </c>
      <c r="I30" s="17" t="n">
        <v>-0.112903225806452</v>
      </c>
      <c r="J30" s="18" t="s">
        <v>103</v>
      </c>
      <c r="K30" s="10" t="s">
        <v>77</v>
      </c>
      <c r="L30" s="10" t="s">
        <v>77</v>
      </c>
      <c r="M30" s="10" t="s">
        <v>77</v>
      </c>
      <c r="N30" s="19" t="s">
        <v>132</v>
      </c>
    </row>
    <row r="31" customFormat="false" ht="18" hidden="false" customHeight="true" outlineLevel="0" collapsed="false">
      <c r="A31" s="19" t="s">
        <v>50</v>
      </c>
      <c r="B31" s="9" t="s">
        <v>133</v>
      </c>
      <c r="C31" s="10" t="s">
        <v>75</v>
      </c>
      <c r="D31" s="19" t="s">
        <v>76</v>
      </c>
      <c r="E31" s="11" t="n">
        <v>4000</v>
      </c>
      <c r="F31" s="12" t="s">
        <v>77</v>
      </c>
      <c r="G31" s="13" t="n">
        <v>4500</v>
      </c>
      <c r="H31" s="13" t="n">
        <v>4300</v>
      </c>
      <c r="I31" s="17" t="n">
        <v>-0.111111111111111</v>
      </c>
      <c r="J31" s="18" t="s">
        <v>103</v>
      </c>
      <c r="K31" s="10" t="s">
        <v>77</v>
      </c>
      <c r="L31" s="10" t="s">
        <v>77</v>
      </c>
      <c r="M31" s="10" t="s">
        <v>77</v>
      </c>
      <c r="N31" s="19" t="s">
        <v>134</v>
      </c>
    </row>
    <row r="32" customFormat="false" ht="18" hidden="false" customHeight="true" outlineLevel="0" collapsed="false">
      <c r="A32" s="19" t="s">
        <v>50</v>
      </c>
      <c r="B32" s="9" t="s">
        <v>135</v>
      </c>
      <c r="C32" s="10" t="s">
        <v>75</v>
      </c>
      <c r="D32" s="19" t="s">
        <v>76</v>
      </c>
      <c r="E32" s="11" t="n">
        <v>7500</v>
      </c>
      <c r="F32" s="12" t="s">
        <v>77</v>
      </c>
      <c r="G32" s="13" t="n">
        <v>8400</v>
      </c>
      <c r="H32" s="13" t="n">
        <v>8000</v>
      </c>
      <c r="I32" s="17" t="n">
        <v>-0.107142857142857</v>
      </c>
      <c r="J32" s="18" t="s">
        <v>103</v>
      </c>
      <c r="K32" s="10" t="s">
        <v>77</v>
      </c>
      <c r="L32" s="10" t="s">
        <v>77</v>
      </c>
      <c r="M32" s="10" t="s">
        <v>77</v>
      </c>
      <c r="N32" s="19" t="s">
        <v>136</v>
      </c>
    </row>
    <row r="33" customFormat="false" ht="18" hidden="false" customHeight="true" outlineLevel="0" collapsed="false">
      <c r="A33" s="19" t="s">
        <v>50</v>
      </c>
      <c r="B33" s="9" t="s">
        <v>137</v>
      </c>
      <c r="C33" s="10" t="s">
        <v>75</v>
      </c>
      <c r="D33" s="19" t="s">
        <v>76</v>
      </c>
      <c r="E33" s="11" t="n">
        <v>5000</v>
      </c>
      <c r="F33" s="12" t="s">
        <v>77</v>
      </c>
      <c r="G33" s="13" t="n">
        <v>5600</v>
      </c>
      <c r="H33" s="13" t="n">
        <v>5300</v>
      </c>
      <c r="I33" s="17" t="n">
        <v>-0.107142857142857</v>
      </c>
      <c r="J33" s="18" t="s">
        <v>103</v>
      </c>
      <c r="K33" s="10" t="s">
        <v>77</v>
      </c>
      <c r="L33" s="10" t="s">
        <v>77</v>
      </c>
      <c r="M33" s="10" t="s">
        <v>77</v>
      </c>
      <c r="N33" s="19" t="s">
        <v>138</v>
      </c>
    </row>
    <row r="34" customFormat="false" ht="18" hidden="false" customHeight="true" outlineLevel="0" collapsed="false">
      <c r="A34" s="19" t="s">
        <v>50</v>
      </c>
      <c r="B34" s="9" t="s">
        <v>139</v>
      </c>
      <c r="C34" s="10" t="s">
        <v>75</v>
      </c>
      <c r="D34" s="19" t="s">
        <v>76</v>
      </c>
      <c r="E34" s="11" t="n">
        <v>4500</v>
      </c>
      <c r="F34" s="12" t="s">
        <v>77</v>
      </c>
      <c r="G34" s="13" t="n">
        <v>5000</v>
      </c>
      <c r="H34" s="13" t="n">
        <v>4800</v>
      </c>
      <c r="I34" s="17" t="n">
        <v>-0.1</v>
      </c>
      <c r="J34" s="18" t="s">
        <v>103</v>
      </c>
      <c r="K34" s="10" t="s">
        <v>77</v>
      </c>
      <c r="L34" s="10" t="s">
        <v>77</v>
      </c>
      <c r="M34" s="10" t="s">
        <v>77</v>
      </c>
      <c r="N34" s="19" t="s">
        <v>140</v>
      </c>
    </row>
    <row r="35" customFormat="false" ht="18" hidden="false" customHeight="true" outlineLevel="0" collapsed="false">
      <c r="A35" s="19" t="s">
        <v>50</v>
      </c>
      <c r="B35" s="9" t="s">
        <v>141</v>
      </c>
      <c r="C35" s="10" t="s">
        <v>75</v>
      </c>
      <c r="D35" s="19" t="s">
        <v>76</v>
      </c>
      <c r="E35" s="11" t="n">
        <v>8000</v>
      </c>
      <c r="F35" s="12" t="s">
        <v>77</v>
      </c>
      <c r="G35" s="13" t="n">
        <v>9000</v>
      </c>
      <c r="H35" s="13" t="n">
        <v>8600</v>
      </c>
      <c r="I35" s="17" t="n">
        <v>-0.111111111111111</v>
      </c>
      <c r="J35" s="18" t="s">
        <v>103</v>
      </c>
      <c r="K35" s="10" t="s">
        <v>77</v>
      </c>
      <c r="L35" s="10" t="s">
        <v>77</v>
      </c>
      <c r="M35" s="10" t="s">
        <v>77</v>
      </c>
      <c r="N35" s="19" t="s">
        <v>142</v>
      </c>
    </row>
    <row r="36" customFormat="false" ht="18" hidden="false" customHeight="true" outlineLevel="0" collapsed="false">
      <c r="A36" s="19" t="s">
        <v>50</v>
      </c>
      <c r="B36" s="9" t="s">
        <v>143</v>
      </c>
      <c r="C36" s="10" t="s">
        <v>75</v>
      </c>
      <c r="D36" s="19" t="s">
        <v>76</v>
      </c>
      <c r="E36" s="11" t="n">
        <v>18000</v>
      </c>
      <c r="F36" s="12" t="s">
        <v>77</v>
      </c>
      <c r="G36" s="13" t="n">
        <v>20200</v>
      </c>
      <c r="H36" s="13" t="n">
        <v>19200</v>
      </c>
      <c r="I36" s="17" t="n">
        <v>-0.108910891089109</v>
      </c>
      <c r="J36" s="18" t="s">
        <v>103</v>
      </c>
      <c r="K36" s="10" t="s">
        <v>77</v>
      </c>
      <c r="L36" s="10" t="s">
        <v>77</v>
      </c>
      <c r="M36" s="10" t="s">
        <v>77</v>
      </c>
      <c r="N36" s="19" t="s">
        <v>144</v>
      </c>
    </row>
    <row r="37" customFormat="false" ht="18" hidden="false" customHeight="true" outlineLevel="0" collapsed="false">
      <c r="A37" s="19" t="s">
        <v>50</v>
      </c>
      <c r="B37" s="9" t="s">
        <v>145</v>
      </c>
      <c r="C37" s="10" t="s">
        <v>75</v>
      </c>
      <c r="D37" s="19" t="s">
        <v>76</v>
      </c>
      <c r="E37" s="11" t="n">
        <v>3500</v>
      </c>
      <c r="F37" s="12" t="s">
        <v>77</v>
      </c>
      <c r="G37" s="13" t="n">
        <v>3900</v>
      </c>
      <c r="H37" s="13" t="n">
        <v>3700</v>
      </c>
      <c r="I37" s="17" t="n">
        <v>-0.102564102564103</v>
      </c>
      <c r="J37" s="18" t="s">
        <v>103</v>
      </c>
      <c r="K37" s="10" t="s">
        <v>77</v>
      </c>
      <c r="L37" s="10" t="s">
        <v>77</v>
      </c>
      <c r="M37" s="10" t="s">
        <v>77</v>
      </c>
      <c r="N37" s="19" t="s">
        <v>146</v>
      </c>
    </row>
    <row r="38" customFormat="false" ht="18" hidden="false" customHeight="true" outlineLevel="0" collapsed="false">
      <c r="A38" s="19" t="s">
        <v>50</v>
      </c>
      <c r="B38" s="9" t="s">
        <v>147</v>
      </c>
      <c r="C38" s="10" t="s">
        <v>75</v>
      </c>
      <c r="D38" s="19" t="s">
        <v>76</v>
      </c>
      <c r="E38" s="11" t="n">
        <v>11000</v>
      </c>
      <c r="F38" s="12" t="s">
        <v>77</v>
      </c>
      <c r="G38" s="13" t="n">
        <v>12300</v>
      </c>
      <c r="H38" s="13" t="n">
        <v>11700</v>
      </c>
      <c r="I38" s="17" t="n">
        <v>-0.105691056910569</v>
      </c>
      <c r="J38" s="18" t="s">
        <v>103</v>
      </c>
      <c r="K38" s="10" t="s">
        <v>77</v>
      </c>
      <c r="L38" s="10" t="s">
        <v>77</v>
      </c>
      <c r="M38" s="10" t="s">
        <v>77</v>
      </c>
      <c r="N38" s="19" t="s">
        <v>148</v>
      </c>
    </row>
    <row r="39" customFormat="false" ht="18" hidden="false" customHeight="true" outlineLevel="0" collapsed="false">
      <c r="A39" s="19" t="s">
        <v>50</v>
      </c>
      <c r="B39" s="9" t="s">
        <v>149</v>
      </c>
      <c r="C39" s="10" t="s">
        <v>75</v>
      </c>
      <c r="D39" s="19" t="s">
        <v>76</v>
      </c>
      <c r="E39" s="11" t="n">
        <v>22000</v>
      </c>
      <c r="F39" s="12" t="s">
        <v>77</v>
      </c>
      <c r="G39" s="13" t="n">
        <v>24600</v>
      </c>
      <c r="H39" s="13" t="n">
        <v>23400</v>
      </c>
      <c r="I39" s="17" t="n">
        <v>-0.105691056910569</v>
      </c>
      <c r="J39" s="18" t="s">
        <v>103</v>
      </c>
      <c r="K39" s="10" t="s">
        <v>77</v>
      </c>
      <c r="L39" s="10" t="s">
        <v>77</v>
      </c>
      <c r="M39" s="10" t="s">
        <v>77</v>
      </c>
      <c r="N39" s="19" t="s">
        <v>150</v>
      </c>
    </row>
    <row r="40" customFormat="false" ht="18" hidden="false" customHeight="true" outlineLevel="0" collapsed="false">
      <c r="A40" s="20" t="s">
        <v>52</v>
      </c>
      <c r="B40" s="9" t="s">
        <v>151</v>
      </c>
      <c r="C40" s="10" t="s">
        <v>75</v>
      </c>
      <c r="D40" s="20" t="s">
        <v>76</v>
      </c>
      <c r="E40" s="11" t="n">
        <v>3500</v>
      </c>
      <c r="F40" s="12" t="s">
        <v>77</v>
      </c>
      <c r="G40" s="13" t="n">
        <v>3900</v>
      </c>
      <c r="H40" s="13" t="n">
        <v>3700</v>
      </c>
      <c r="I40" s="17" t="n">
        <v>-0.102564102564103</v>
      </c>
      <c r="J40" s="18" t="s">
        <v>103</v>
      </c>
      <c r="K40" s="10" t="s">
        <v>77</v>
      </c>
      <c r="L40" s="10" t="s">
        <v>77</v>
      </c>
      <c r="M40" s="10" t="s">
        <v>77</v>
      </c>
      <c r="N40" s="20" t="s">
        <v>152</v>
      </c>
    </row>
    <row r="41" customFormat="false" ht="18" hidden="false" customHeight="true" outlineLevel="0" collapsed="false">
      <c r="A41" s="20" t="s">
        <v>52</v>
      </c>
      <c r="B41" s="9" t="s">
        <v>153</v>
      </c>
      <c r="C41" s="10" t="s">
        <v>75</v>
      </c>
      <c r="D41" s="20" t="s">
        <v>76</v>
      </c>
      <c r="E41" s="11" t="n">
        <v>8500</v>
      </c>
      <c r="F41" s="12" t="s">
        <v>77</v>
      </c>
      <c r="G41" s="13" t="n">
        <v>9400</v>
      </c>
      <c r="H41" s="13" t="n">
        <v>8900</v>
      </c>
      <c r="I41" s="14" t="n">
        <v>-0.0957446808510638</v>
      </c>
      <c r="J41" s="15" t="s">
        <v>78</v>
      </c>
      <c r="K41" s="10" t="s">
        <v>77</v>
      </c>
      <c r="L41" s="10" t="s">
        <v>77</v>
      </c>
      <c r="M41" s="10" t="s">
        <v>77</v>
      </c>
      <c r="N41" s="20" t="s">
        <v>154</v>
      </c>
    </row>
    <row r="42" customFormat="false" ht="18" hidden="false" customHeight="true" outlineLevel="0" collapsed="false">
      <c r="A42" s="20" t="s">
        <v>52</v>
      </c>
      <c r="B42" s="9" t="s">
        <v>155</v>
      </c>
      <c r="C42" s="10" t="s">
        <v>75</v>
      </c>
      <c r="D42" s="20" t="s">
        <v>76</v>
      </c>
      <c r="E42" s="11" t="n">
        <v>12000</v>
      </c>
      <c r="F42" s="12" t="s">
        <v>77</v>
      </c>
      <c r="G42" s="13" t="n">
        <v>13200</v>
      </c>
      <c r="H42" s="13" t="n">
        <v>12500</v>
      </c>
      <c r="I42" s="14" t="n">
        <v>-0.0909090909090909</v>
      </c>
      <c r="J42" s="15" t="s">
        <v>78</v>
      </c>
      <c r="K42" s="10" t="s">
        <v>77</v>
      </c>
      <c r="L42" s="10" t="s">
        <v>77</v>
      </c>
      <c r="M42" s="10" t="s">
        <v>77</v>
      </c>
      <c r="N42" s="20" t="s">
        <v>156</v>
      </c>
    </row>
    <row r="43" customFormat="false" ht="18" hidden="false" customHeight="true" outlineLevel="0" collapsed="false">
      <c r="A43" s="20" t="s">
        <v>52</v>
      </c>
      <c r="B43" s="9" t="s">
        <v>157</v>
      </c>
      <c r="C43" s="10" t="s">
        <v>75</v>
      </c>
      <c r="D43" s="20" t="s">
        <v>76</v>
      </c>
      <c r="E43" s="11" t="n">
        <v>8000</v>
      </c>
      <c r="F43" s="12" t="s">
        <v>77</v>
      </c>
      <c r="G43" s="13" t="n">
        <v>8800</v>
      </c>
      <c r="H43" s="13" t="n">
        <v>8400</v>
      </c>
      <c r="I43" s="14" t="n">
        <v>-0.0909090909090909</v>
      </c>
      <c r="J43" s="15" t="s">
        <v>78</v>
      </c>
      <c r="K43" s="10" t="s">
        <v>77</v>
      </c>
      <c r="L43" s="10" t="s">
        <v>77</v>
      </c>
      <c r="M43" s="10" t="s">
        <v>77</v>
      </c>
      <c r="N43" s="20" t="s">
        <v>158</v>
      </c>
    </row>
    <row r="44" customFormat="false" ht="18" hidden="false" customHeight="true" outlineLevel="0" collapsed="false">
      <c r="A44" s="20" t="s">
        <v>52</v>
      </c>
      <c r="B44" s="9" t="s">
        <v>159</v>
      </c>
      <c r="C44" s="10" t="s">
        <v>75</v>
      </c>
      <c r="D44" s="20" t="s">
        <v>76</v>
      </c>
      <c r="E44" s="11" t="n">
        <v>18000</v>
      </c>
      <c r="F44" s="12" t="s">
        <v>77</v>
      </c>
      <c r="G44" s="13" t="n">
        <v>19800</v>
      </c>
      <c r="H44" s="13" t="n">
        <v>18800</v>
      </c>
      <c r="I44" s="14" t="n">
        <v>-0.0909090909090909</v>
      </c>
      <c r="J44" s="15" t="s">
        <v>78</v>
      </c>
      <c r="K44" s="10" t="s">
        <v>77</v>
      </c>
      <c r="L44" s="10" t="s">
        <v>77</v>
      </c>
      <c r="M44" s="10" t="s">
        <v>77</v>
      </c>
      <c r="N44" s="20" t="s">
        <v>160</v>
      </c>
    </row>
    <row r="45" customFormat="false" ht="18" hidden="false" customHeight="true" outlineLevel="0" collapsed="false">
      <c r="A45" s="20" t="s">
        <v>52</v>
      </c>
      <c r="B45" s="9" t="s">
        <v>161</v>
      </c>
      <c r="C45" s="10" t="s">
        <v>75</v>
      </c>
      <c r="D45" s="20" t="s">
        <v>76</v>
      </c>
      <c r="E45" s="11" t="n">
        <v>25000</v>
      </c>
      <c r="F45" s="12" t="s">
        <v>77</v>
      </c>
      <c r="G45" s="13" t="n">
        <v>27500</v>
      </c>
      <c r="H45" s="13" t="n">
        <v>26100</v>
      </c>
      <c r="I45" s="14" t="n">
        <v>-0.0909090909090909</v>
      </c>
      <c r="J45" s="15" t="s">
        <v>78</v>
      </c>
      <c r="K45" s="10" t="s">
        <v>77</v>
      </c>
      <c r="L45" s="10" t="s">
        <v>77</v>
      </c>
      <c r="M45" s="10" t="s">
        <v>77</v>
      </c>
      <c r="N45" s="20" t="s">
        <v>162</v>
      </c>
    </row>
    <row r="46" customFormat="false" ht="18" hidden="false" customHeight="true" outlineLevel="0" collapsed="false">
      <c r="A46" s="20" t="s">
        <v>52</v>
      </c>
      <c r="B46" s="9" t="s">
        <v>163</v>
      </c>
      <c r="C46" s="10" t="s">
        <v>75</v>
      </c>
      <c r="D46" s="20" t="s">
        <v>76</v>
      </c>
      <c r="E46" s="11" t="n">
        <v>8500</v>
      </c>
      <c r="F46" s="12" t="s">
        <v>77</v>
      </c>
      <c r="G46" s="13" t="n">
        <v>9400</v>
      </c>
      <c r="H46" s="13" t="n">
        <v>8900</v>
      </c>
      <c r="I46" s="14" t="n">
        <v>-0.0957446808510638</v>
      </c>
      <c r="J46" s="15" t="s">
        <v>78</v>
      </c>
      <c r="K46" s="10" t="s">
        <v>77</v>
      </c>
      <c r="L46" s="10" t="s">
        <v>77</v>
      </c>
      <c r="M46" s="10" t="s">
        <v>77</v>
      </c>
      <c r="N46" s="20" t="s">
        <v>164</v>
      </c>
    </row>
    <row r="47" customFormat="false" ht="18" hidden="false" customHeight="true" outlineLevel="0" collapsed="false">
      <c r="A47" s="20" t="s">
        <v>52</v>
      </c>
      <c r="B47" s="9" t="s">
        <v>165</v>
      </c>
      <c r="C47" s="10" t="s">
        <v>75</v>
      </c>
      <c r="D47" s="20" t="s">
        <v>76</v>
      </c>
      <c r="E47" s="11" t="n">
        <v>15000</v>
      </c>
      <c r="F47" s="12" t="s">
        <v>77</v>
      </c>
      <c r="G47" s="13" t="n">
        <v>16500</v>
      </c>
      <c r="H47" s="13" t="n">
        <v>15700</v>
      </c>
      <c r="I47" s="14" t="n">
        <v>-0.0909090909090909</v>
      </c>
      <c r="J47" s="15" t="s">
        <v>78</v>
      </c>
      <c r="K47" s="10" t="s">
        <v>77</v>
      </c>
      <c r="L47" s="10" t="s">
        <v>77</v>
      </c>
      <c r="M47" s="10" t="s">
        <v>77</v>
      </c>
      <c r="N47" s="20" t="s">
        <v>166</v>
      </c>
    </row>
    <row r="48" customFormat="false" ht="18" hidden="false" customHeight="true" outlineLevel="0" collapsed="false">
      <c r="A48" s="20" t="s">
        <v>52</v>
      </c>
      <c r="B48" s="9" t="s">
        <v>167</v>
      </c>
      <c r="C48" s="10" t="s">
        <v>75</v>
      </c>
      <c r="D48" s="20" t="s">
        <v>76</v>
      </c>
      <c r="E48" s="11" t="n">
        <v>20000</v>
      </c>
      <c r="F48" s="12" t="s">
        <v>77</v>
      </c>
      <c r="G48" s="13" t="n">
        <v>22000</v>
      </c>
      <c r="H48" s="13" t="n">
        <v>20900</v>
      </c>
      <c r="I48" s="14" t="n">
        <v>-0.0909090909090909</v>
      </c>
      <c r="J48" s="15" t="s">
        <v>78</v>
      </c>
      <c r="K48" s="10" t="s">
        <v>77</v>
      </c>
      <c r="L48" s="10" t="s">
        <v>77</v>
      </c>
      <c r="M48" s="10" t="s">
        <v>77</v>
      </c>
      <c r="N48" s="20" t="s">
        <v>168</v>
      </c>
    </row>
    <row r="49" customFormat="false" ht="18" hidden="false" customHeight="true" outlineLevel="0" collapsed="false">
      <c r="A49" s="20" t="s">
        <v>52</v>
      </c>
      <c r="B49" s="9" t="s">
        <v>169</v>
      </c>
      <c r="C49" s="10" t="s">
        <v>75</v>
      </c>
      <c r="D49" s="20" t="s">
        <v>76</v>
      </c>
      <c r="E49" s="11" t="n">
        <v>11000</v>
      </c>
      <c r="F49" s="12" t="s">
        <v>77</v>
      </c>
      <c r="G49" s="13" t="n">
        <v>12100</v>
      </c>
      <c r="H49" s="13" t="n">
        <v>11500</v>
      </c>
      <c r="I49" s="14" t="n">
        <v>-0.0909090909090909</v>
      </c>
      <c r="J49" s="15" t="s">
        <v>78</v>
      </c>
      <c r="K49" s="10" t="s">
        <v>77</v>
      </c>
      <c r="L49" s="10" t="s">
        <v>77</v>
      </c>
      <c r="M49" s="10" t="s">
        <v>77</v>
      </c>
      <c r="N49" s="20" t="s">
        <v>170</v>
      </c>
    </row>
    <row r="50" customFormat="false" ht="18" hidden="false" customHeight="true" outlineLevel="0" collapsed="false">
      <c r="A50" s="20" t="s">
        <v>52</v>
      </c>
      <c r="B50" s="9" t="s">
        <v>171</v>
      </c>
      <c r="C50" s="10" t="s">
        <v>75</v>
      </c>
      <c r="D50" s="20" t="s">
        <v>76</v>
      </c>
      <c r="E50" s="11" t="n">
        <v>9500</v>
      </c>
      <c r="F50" s="12" t="s">
        <v>77</v>
      </c>
      <c r="G50" s="13" t="n">
        <v>10400</v>
      </c>
      <c r="H50" s="13" t="n">
        <v>9900</v>
      </c>
      <c r="I50" s="14" t="n">
        <v>-0.0865384615384615</v>
      </c>
      <c r="J50" s="15" t="s">
        <v>78</v>
      </c>
      <c r="K50" s="10" t="s">
        <v>77</v>
      </c>
      <c r="L50" s="10" t="s">
        <v>77</v>
      </c>
      <c r="M50" s="10" t="s">
        <v>77</v>
      </c>
      <c r="N50" s="20" t="s">
        <v>172</v>
      </c>
    </row>
    <row r="51" customFormat="false" ht="18" hidden="false" customHeight="true" outlineLevel="0" collapsed="false">
      <c r="A51" s="20" t="s">
        <v>52</v>
      </c>
      <c r="B51" s="9" t="s">
        <v>173</v>
      </c>
      <c r="C51" s="10" t="s">
        <v>75</v>
      </c>
      <c r="D51" s="20" t="s">
        <v>76</v>
      </c>
      <c r="E51" s="11" t="n">
        <v>28000</v>
      </c>
      <c r="F51" s="12" t="s">
        <v>77</v>
      </c>
      <c r="G51" s="13" t="n">
        <v>30800</v>
      </c>
      <c r="H51" s="13" t="n">
        <v>29300</v>
      </c>
      <c r="I51" s="14" t="n">
        <v>-0.0909090909090909</v>
      </c>
      <c r="J51" s="15" t="s">
        <v>78</v>
      </c>
      <c r="K51" s="10" t="s">
        <v>77</v>
      </c>
      <c r="L51" s="10" t="s">
        <v>77</v>
      </c>
      <c r="M51" s="10" t="s">
        <v>77</v>
      </c>
      <c r="N51" s="20" t="s">
        <v>174</v>
      </c>
    </row>
    <row r="52" customFormat="false" ht="18" hidden="false" customHeight="true" outlineLevel="0" collapsed="false">
      <c r="A52" s="21" t="s">
        <v>54</v>
      </c>
      <c r="B52" s="9" t="s">
        <v>175</v>
      </c>
      <c r="C52" s="10" t="s">
        <v>75</v>
      </c>
      <c r="D52" s="21" t="s">
        <v>176</v>
      </c>
      <c r="E52" s="11" t="n">
        <v>1200</v>
      </c>
      <c r="F52" s="13" t="n">
        <v>1000</v>
      </c>
      <c r="G52" s="13" t="n">
        <v>1800</v>
      </c>
      <c r="H52" s="13" t="n">
        <v>1700</v>
      </c>
      <c r="I52" s="22" t="n">
        <v>-0.333333333333333</v>
      </c>
      <c r="J52" s="23" t="s">
        <v>177</v>
      </c>
      <c r="K52" s="24" t="n">
        <v>2</v>
      </c>
      <c r="L52" s="24" t="n">
        <v>4</v>
      </c>
      <c r="M52" s="24" t="n">
        <v>2</v>
      </c>
      <c r="N52" s="21" t="s">
        <v>178</v>
      </c>
    </row>
    <row r="53" customFormat="false" ht="18" hidden="false" customHeight="true" outlineLevel="0" collapsed="false">
      <c r="A53" s="21" t="s">
        <v>54</v>
      </c>
      <c r="B53" s="9" t="s">
        <v>179</v>
      </c>
      <c r="C53" s="10" t="s">
        <v>75</v>
      </c>
      <c r="D53" s="21" t="s">
        <v>176</v>
      </c>
      <c r="E53" s="11" t="n">
        <v>2800</v>
      </c>
      <c r="F53" s="13" t="n">
        <v>1200</v>
      </c>
      <c r="G53" s="13" t="n">
        <v>2200</v>
      </c>
      <c r="H53" s="13" t="n">
        <v>2100</v>
      </c>
      <c r="I53" s="25" t="n">
        <v>0.272727272727273</v>
      </c>
      <c r="J53" s="26" t="s">
        <v>180</v>
      </c>
      <c r="K53" s="24" t="n">
        <v>0</v>
      </c>
      <c r="L53" s="24" t="n">
        <v>4</v>
      </c>
      <c r="M53" s="24" t="n">
        <v>4</v>
      </c>
      <c r="N53" s="21" t="s">
        <v>181</v>
      </c>
    </row>
    <row r="54" customFormat="false" ht="18" hidden="false" customHeight="true" outlineLevel="0" collapsed="false">
      <c r="A54" s="21" t="s">
        <v>54</v>
      </c>
      <c r="B54" s="9" t="s">
        <v>182</v>
      </c>
      <c r="C54" s="10" t="s">
        <v>75</v>
      </c>
      <c r="D54" s="21" t="s">
        <v>176</v>
      </c>
      <c r="E54" s="11" t="n">
        <v>5500</v>
      </c>
      <c r="F54" s="13" t="n">
        <v>2400</v>
      </c>
      <c r="G54" s="13" t="n">
        <v>4400</v>
      </c>
      <c r="H54" s="13" t="n">
        <v>4200</v>
      </c>
      <c r="I54" s="25" t="n">
        <v>0.25</v>
      </c>
      <c r="J54" s="26" t="s">
        <v>180</v>
      </c>
      <c r="K54" s="24" t="n">
        <v>0</v>
      </c>
      <c r="L54" s="24" t="n">
        <v>8</v>
      </c>
      <c r="M54" s="24" t="n">
        <v>8</v>
      </c>
      <c r="N54" s="21" t="s">
        <v>183</v>
      </c>
    </row>
    <row r="55" customFormat="false" ht="18" hidden="false" customHeight="true" outlineLevel="0" collapsed="false">
      <c r="A55" s="21" t="s">
        <v>54</v>
      </c>
      <c r="B55" s="9" t="s">
        <v>184</v>
      </c>
      <c r="C55" s="10" t="s">
        <v>75</v>
      </c>
      <c r="D55" s="21" t="s">
        <v>176</v>
      </c>
      <c r="E55" s="11" t="n">
        <v>3500</v>
      </c>
      <c r="F55" s="13" t="n">
        <v>1450</v>
      </c>
      <c r="G55" s="13" t="n">
        <v>2700</v>
      </c>
      <c r="H55" s="13" t="n">
        <v>2600</v>
      </c>
      <c r="I55" s="25" t="n">
        <v>0.296296296296296</v>
      </c>
      <c r="J55" s="26" t="s">
        <v>180</v>
      </c>
      <c r="K55" s="24" t="n">
        <v>0</v>
      </c>
      <c r="L55" s="24" t="n">
        <v>6</v>
      </c>
      <c r="M55" s="24" t="n">
        <v>4</v>
      </c>
      <c r="N55" s="21" t="s">
        <v>185</v>
      </c>
    </row>
    <row r="56" customFormat="false" ht="18" hidden="false" customHeight="true" outlineLevel="0" collapsed="false">
      <c r="A56" s="21" t="s">
        <v>54</v>
      </c>
      <c r="B56" s="9" t="s">
        <v>186</v>
      </c>
      <c r="C56" s="10" t="s">
        <v>75</v>
      </c>
      <c r="D56" s="21" t="s">
        <v>176</v>
      </c>
      <c r="E56" s="11" t="n">
        <v>6500</v>
      </c>
      <c r="F56" s="13" t="n">
        <v>2400</v>
      </c>
      <c r="G56" s="13" t="n">
        <v>4400</v>
      </c>
      <c r="H56" s="13" t="n">
        <v>4200</v>
      </c>
      <c r="I56" s="27" t="n">
        <v>0.477272727272727</v>
      </c>
      <c r="J56" s="28" t="s">
        <v>187</v>
      </c>
      <c r="K56" s="24" t="n">
        <v>0</v>
      </c>
      <c r="L56" s="24" t="n">
        <v>8</v>
      </c>
      <c r="M56" s="24" t="n">
        <v>8</v>
      </c>
      <c r="N56" s="21" t="s">
        <v>188</v>
      </c>
    </row>
    <row r="57" customFormat="false" ht="18" hidden="false" customHeight="true" outlineLevel="0" collapsed="false">
      <c r="A57" s="21" t="s">
        <v>54</v>
      </c>
      <c r="B57" s="9" t="s">
        <v>189</v>
      </c>
      <c r="C57" s="10" t="s">
        <v>75</v>
      </c>
      <c r="D57" s="21" t="s">
        <v>176</v>
      </c>
      <c r="E57" s="11" t="n">
        <v>4500</v>
      </c>
      <c r="F57" s="13" t="n">
        <v>1800</v>
      </c>
      <c r="G57" s="13" t="n">
        <v>3300</v>
      </c>
      <c r="H57" s="13" t="n">
        <v>3100</v>
      </c>
      <c r="I57" s="27" t="n">
        <v>0.363636363636364</v>
      </c>
      <c r="J57" s="28" t="s">
        <v>187</v>
      </c>
      <c r="K57" s="24" t="n">
        <v>0</v>
      </c>
      <c r="L57" s="24" t="n">
        <v>6</v>
      </c>
      <c r="M57" s="24" t="n">
        <v>6</v>
      </c>
      <c r="N57" s="21" t="s">
        <v>190</v>
      </c>
    </row>
    <row r="58" customFormat="false" ht="18" hidden="false" customHeight="true" outlineLevel="0" collapsed="false">
      <c r="A58" s="21" t="s">
        <v>54</v>
      </c>
      <c r="B58" s="9" t="s">
        <v>191</v>
      </c>
      <c r="C58" s="10" t="s">
        <v>75</v>
      </c>
      <c r="D58" s="21" t="s">
        <v>176</v>
      </c>
      <c r="E58" s="11" t="n">
        <v>3800</v>
      </c>
      <c r="F58" s="13" t="n">
        <v>1550</v>
      </c>
      <c r="G58" s="13" t="n">
        <v>2900</v>
      </c>
      <c r="H58" s="13" t="n">
        <v>2800</v>
      </c>
      <c r="I58" s="27" t="n">
        <v>0.310344827586207</v>
      </c>
      <c r="J58" s="28" t="s">
        <v>187</v>
      </c>
      <c r="K58" s="24" t="n">
        <v>0</v>
      </c>
      <c r="L58" s="24" t="n">
        <v>4</v>
      </c>
      <c r="M58" s="24" t="n">
        <v>6</v>
      </c>
      <c r="N58" s="21" t="s">
        <v>192</v>
      </c>
    </row>
    <row r="59" customFormat="false" ht="18" hidden="false" customHeight="true" outlineLevel="0" collapsed="false">
      <c r="A59" s="21" t="s">
        <v>54</v>
      </c>
      <c r="B59" s="9" t="s">
        <v>193</v>
      </c>
      <c r="C59" s="10" t="s">
        <v>75</v>
      </c>
      <c r="D59" s="21" t="s">
        <v>176</v>
      </c>
      <c r="E59" s="11" t="n">
        <v>4200</v>
      </c>
      <c r="F59" s="13" t="n">
        <v>1900</v>
      </c>
      <c r="G59" s="13" t="n">
        <v>3500</v>
      </c>
      <c r="H59" s="13" t="n">
        <v>3300</v>
      </c>
      <c r="I59" s="25" t="n">
        <v>0.2</v>
      </c>
      <c r="J59" s="26" t="s">
        <v>180</v>
      </c>
      <c r="K59" s="24" t="n">
        <v>0</v>
      </c>
      <c r="L59" s="24" t="n">
        <v>4</v>
      </c>
      <c r="M59" s="24" t="n">
        <v>8</v>
      </c>
      <c r="N59" s="21" t="s">
        <v>194</v>
      </c>
    </row>
    <row r="60" customFormat="false" ht="18" hidden="false" customHeight="true" outlineLevel="0" collapsed="false">
      <c r="A60" s="21" t="s">
        <v>54</v>
      </c>
      <c r="B60" s="9" t="s">
        <v>195</v>
      </c>
      <c r="C60" s="10" t="s">
        <v>75</v>
      </c>
      <c r="D60" s="21" t="s">
        <v>176</v>
      </c>
      <c r="E60" s="11" t="n">
        <v>8500</v>
      </c>
      <c r="F60" s="13" t="n">
        <v>3100</v>
      </c>
      <c r="G60" s="13" t="n">
        <v>5700</v>
      </c>
      <c r="H60" s="13" t="n">
        <v>5400</v>
      </c>
      <c r="I60" s="27" t="n">
        <v>0.491228070175439</v>
      </c>
      <c r="J60" s="28" t="s">
        <v>187</v>
      </c>
      <c r="K60" s="24" t="n">
        <v>0</v>
      </c>
      <c r="L60" s="24" t="n">
        <v>8</v>
      </c>
      <c r="M60" s="24" t="n">
        <v>12</v>
      </c>
      <c r="N60" s="21" t="s">
        <v>196</v>
      </c>
    </row>
    <row r="61" customFormat="false" ht="18" hidden="false" customHeight="true" outlineLevel="0" collapsed="false">
      <c r="A61" s="21" t="s">
        <v>54</v>
      </c>
      <c r="B61" s="9" t="s">
        <v>197</v>
      </c>
      <c r="C61" s="10" t="s">
        <v>75</v>
      </c>
      <c r="D61" s="21" t="s">
        <v>176</v>
      </c>
      <c r="E61" s="11" t="n">
        <v>3500</v>
      </c>
      <c r="F61" s="13" t="n">
        <v>1450</v>
      </c>
      <c r="G61" s="13" t="n">
        <v>2700</v>
      </c>
      <c r="H61" s="13" t="n">
        <v>2600</v>
      </c>
      <c r="I61" s="25" t="n">
        <v>0.296296296296296</v>
      </c>
      <c r="J61" s="26" t="s">
        <v>180</v>
      </c>
      <c r="K61" s="24" t="n">
        <v>0</v>
      </c>
      <c r="L61" s="24" t="n">
        <v>6</v>
      </c>
      <c r="M61" s="24" t="n">
        <v>4</v>
      </c>
      <c r="N61" s="21" t="s">
        <v>198</v>
      </c>
    </row>
    <row r="62" customFormat="false" ht="18" hidden="false" customHeight="true" outlineLevel="0" collapsed="false">
      <c r="A62" s="21" t="s">
        <v>54</v>
      </c>
      <c r="B62" s="9" t="s">
        <v>199</v>
      </c>
      <c r="C62" s="10" t="s">
        <v>200</v>
      </c>
      <c r="D62" s="21" t="s">
        <v>176</v>
      </c>
      <c r="E62" s="11" t="n">
        <v>4500</v>
      </c>
      <c r="F62" s="29" t="n">
        <v>6000</v>
      </c>
      <c r="G62" s="13" t="n">
        <v>11100</v>
      </c>
      <c r="H62" s="13" t="n">
        <v>10500</v>
      </c>
      <c r="I62" s="22" t="n">
        <v>-0.594594594594595</v>
      </c>
      <c r="J62" s="23" t="s">
        <v>177</v>
      </c>
      <c r="K62" s="24" t="n">
        <v>0</v>
      </c>
      <c r="L62" s="24" t="n">
        <v>20</v>
      </c>
      <c r="M62" s="24" t="n">
        <v>20</v>
      </c>
      <c r="N62" s="21" t="s">
        <v>201</v>
      </c>
    </row>
    <row r="63" customFormat="false" ht="18" hidden="false" customHeight="true" outlineLevel="0" collapsed="false">
      <c r="A63" s="21" t="s">
        <v>54</v>
      </c>
      <c r="B63" s="9" t="s">
        <v>202</v>
      </c>
      <c r="C63" s="10" t="s">
        <v>200</v>
      </c>
      <c r="D63" s="21" t="s">
        <v>176</v>
      </c>
      <c r="E63" s="11" t="n">
        <v>2200</v>
      </c>
      <c r="F63" s="29" t="n">
        <v>2400</v>
      </c>
      <c r="G63" s="13" t="n">
        <v>4400</v>
      </c>
      <c r="H63" s="13" t="n">
        <v>4200</v>
      </c>
      <c r="I63" s="22" t="n">
        <v>-0.5</v>
      </c>
      <c r="J63" s="23" t="s">
        <v>177</v>
      </c>
      <c r="K63" s="24" t="n">
        <v>0</v>
      </c>
      <c r="L63" s="24" t="n">
        <v>8</v>
      </c>
      <c r="M63" s="24" t="n">
        <v>8</v>
      </c>
      <c r="N63" s="21" t="s">
        <v>203</v>
      </c>
    </row>
    <row r="64" customFormat="false" ht="18" hidden="false" customHeight="true" outlineLevel="0" collapsed="false">
      <c r="A64" s="30" t="s">
        <v>56</v>
      </c>
      <c r="B64" s="9" t="s">
        <v>204</v>
      </c>
      <c r="C64" s="10" t="s">
        <v>200</v>
      </c>
      <c r="D64" s="30" t="s">
        <v>76</v>
      </c>
      <c r="E64" s="11" t="n">
        <v>1500</v>
      </c>
      <c r="F64" s="12" t="s">
        <v>77</v>
      </c>
      <c r="G64" s="13" t="n">
        <v>1700</v>
      </c>
      <c r="H64" s="13" t="n">
        <v>1600</v>
      </c>
      <c r="I64" s="17" t="n">
        <v>-0.117647058823529</v>
      </c>
      <c r="J64" s="18" t="s">
        <v>103</v>
      </c>
      <c r="K64" s="10" t="s">
        <v>77</v>
      </c>
      <c r="L64" s="10" t="s">
        <v>77</v>
      </c>
      <c r="M64" s="10" t="s">
        <v>77</v>
      </c>
      <c r="N64" s="30" t="s">
        <v>205</v>
      </c>
    </row>
    <row r="65" customFormat="false" ht="18" hidden="false" customHeight="true" outlineLevel="0" collapsed="false">
      <c r="A65" s="30" t="s">
        <v>56</v>
      </c>
      <c r="B65" s="9" t="s">
        <v>206</v>
      </c>
      <c r="C65" s="10" t="s">
        <v>200</v>
      </c>
      <c r="D65" s="30" t="s">
        <v>76</v>
      </c>
      <c r="E65" s="11" t="n">
        <v>3000</v>
      </c>
      <c r="F65" s="12" t="s">
        <v>77</v>
      </c>
      <c r="G65" s="13" t="n">
        <v>3400</v>
      </c>
      <c r="H65" s="13" t="n">
        <v>3200</v>
      </c>
      <c r="I65" s="17" t="n">
        <v>-0.117647058823529</v>
      </c>
      <c r="J65" s="18" t="s">
        <v>103</v>
      </c>
      <c r="K65" s="10" t="s">
        <v>77</v>
      </c>
      <c r="L65" s="10" t="s">
        <v>77</v>
      </c>
      <c r="M65" s="10" t="s">
        <v>77</v>
      </c>
      <c r="N65" s="30" t="s">
        <v>207</v>
      </c>
    </row>
    <row r="66" customFormat="false" ht="18" hidden="false" customHeight="true" outlineLevel="0" collapsed="false">
      <c r="A66" s="30" t="s">
        <v>56</v>
      </c>
      <c r="B66" s="9" t="s">
        <v>208</v>
      </c>
      <c r="C66" s="10" t="s">
        <v>200</v>
      </c>
      <c r="D66" s="30" t="s">
        <v>76</v>
      </c>
      <c r="E66" s="11" t="n">
        <v>5500</v>
      </c>
      <c r="F66" s="12" t="s">
        <v>77</v>
      </c>
      <c r="G66" s="13" t="n">
        <v>6200</v>
      </c>
      <c r="H66" s="13" t="n">
        <v>5900</v>
      </c>
      <c r="I66" s="17" t="n">
        <v>-0.112903225806452</v>
      </c>
      <c r="J66" s="18" t="s">
        <v>103</v>
      </c>
      <c r="K66" s="10" t="s">
        <v>77</v>
      </c>
      <c r="L66" s="10" t="s">
        <v>77</v>
      </c>
      <c r="M66" s="10" t="s">
        <v>77</v>
      </c>
      <c r="N66" s="30" t="s">
        <v>209</v>
      </c>
    </row>
    <row r="67" customFormat="false" ht="18" hidden="false" customHeight="true" outlineLevel="0" collapsed="false">
      <c r="A67" s="30" t="s">
        <v>56</v>
      </c>
      <c r="B67" s="9" t="s">
        <v>210</v>
      </c>
      <c r="C67" s="10" t="s">
        <v>200</v>
      </c>
      <c r="D67" s="30" t="s">
        <v>76</v>
      </c>
      <c r="E67" s="11" t="n">
        <v>2500</v>
      </c>
      <c r="F67" s="12" t="s">
        <v>77</v>
      </c>
      <c r="G67" s="13" t="n">
        <v>2800</v>
      </c>
      <c r="H67" s="13" t="n">
        <v>2700</v>
      </c>
      <c r="I67" s="17" t="n">
        <v>-0.107142857142857</v>
      </c>
      <c r="J67" s="18" t="s">
        <v>103</v>
      </c>
      <c r="K67" s="10" t="s">
        <v>77</v>
      </c>
      <c r="L67" s="10" t="s">
        <v>77</v>
      </c>
      <c r="M67" s="10" t="s">
        <v>77</v>
      </c>
      <c r="N67" s="30" t="s">
        <v>211</v>
      </c>
    </row>
    <row r="68" customFormat="false" ht="18" hidden="false" customHeight="true" outlineLevel="0" collapsed="false">
      <c r="A68" s="30" t="s">
        <v>56</v>
      </c>
      <c r="B68" s="9" t="s">
        <v>212</v>
      </c>
      <c r="C68" s="10" t="s">
        <v>200</v>
      </c>
      <c r="D68" s="30" t="s">
        <v>76</v>
      </c>
      <c r="E68" s="11" t="n">
        <v>2000</v>
      </c>
      <c r="F68" s="12" t="s">
        <v>77</v>
      </c>
      <c r="G68" s="13" t="n">
        <v>2200</v>
      </c>
      <c r="H68" s="13" t="n">
        <v>2100</v>
      </c>
      <c r="I68" s="14" t="n">
        <v>-0.0909090909090909</v>
      </c>
      <c r="J68" s="15" t="s">
        <v>78</v>
      </c>
      <c r="K68" s="10" t="s">
        <v>77</v>
      </c>
      <c r="L68" s="10" t="s">
        <v>77</v>
      </c>
      <c r="M68" s="10" t="s">
        <v>77</v>
      </c>
      <c r="N68" s="30" t="s">
        <v>213</v>
      </c>
    </row>
    <row r="69" customFormat="false" ht="18" hidden="false" customHeight="true" outlineLevel="0" collapsed="false">
      <c r="A69" s="30" t="s">
        <v>56</v>
      </c>
      <c r="B69" s="9" t="s">
        <v>214</v>
      </c>
      <c r="C69" s="10" t="s">
        <v>200</v>
      </c>
      <c r="D69" s="30" t="s">
        <v>76</v>
      </c>
      <c r="E69" s="11" t="n">
        <v>1800</v>
      </c>
      <c r="F69" s="12" t="s">
        <v>77</v>
      </c>
      <c r="G69" s="13" t="n">
        <v>2000</v>
      </c>
      <c r="H69" s="13" t="n">
        <v>1900</v>
      </c>
      <c r="I69" s="17" t="n">
        <v>-0.1</v>
      </c>
      <c r="J69" s="18" t="s">
        <v>103</v>
      </c>
      <c r="K69" s="10" t="s">
        <v>77</v>
      </c>
      <c r="L69" s="10" t="s">
        <v>77</v>
      </c>
      <c r="M69" s="10" t="s">
        <v>77</v>
      </c>
      <c r="N69" s="30" t="s">
        <v>215</v>
      </c>
    </row>
    <row r="70" customFormat="false" ht="18" hidden="false" customHeight="true" outlineLevel="0" collapsed="false">
      <c r="A70" s="30" t="s">
        <v>56</v>
      </c>
      <c r="B70" s="9" t="s">
        <v>216</v>
      </c>
      <c r="C70" s="10" t="s">
        <v>200</v>
      </c>
      <c r="D70" s="30" t="s">
        <v>76</v>
      </c>
      <c r="E70" s="11" t="n">
        <v>2200</v>
      </c>
      <c r="F70" s="12" t="s">
        <v>77</v>
      </c>
      <c r="G70" s="13" t="n">
        <v>2500</v>
      </c>
      <c r="H70" s="13" t="n">
        <v>2400</v>
      </c>
      <c r="I70" s="17" t="n">
        <v>-0.12</v>
      </c>
      <c r="J70" s="18" t="s">
        <v>103</v>
      </c>
      <c r="K70" s="10" t="s">
        <v>77</v>
      </c>
      <c r="L70" s="10" t="s">
        <v>77</v>
      </c>
      <c r="M70" s="10" t="s">
        <v>77</v>
      </c>
      <c r="N70" s="30" t="s">
        <v>217</v>
      </c>
    </row>
    <row r="71" customFormat="false" ht="18" hidden="false" customHeight="true" outlineLevel="0" collapsed="false">
      <c r="A71" s="30" t="s">
        <v>56</v>
      </c>
      <c r="B71" s="9" t="s">
        <v>218</v>
      </c>
      <c r="C71" s="10" t="s">
        <v>200</v>
      </c>
      <c r="D71" s="30" t="s">
        <v>76</v>
      </c>
      <c r="E71" s="11" t="n">
        <v>3500</v>
      </c>
      <c r="F71" s="12" t="s">
        <v>77</v>
      </c>
      <c r="G71" s="13" t="n">
        <v>3900</v>
      </c>
      <c r="H71" s="13" t="n">
        <v>3700</v>
      </c>
      <c r="I71" s="17" t="n">
        <v>-0.102564102564103</v>
      </c>
      <c r="J71" s="18" t="s">
        <v>103</v>
      </c>
      <c r="K71" s="10" t="s">
        <v>77</v>
      </c>
      <c r="L71" s="10" t="s">
        <v>77</v>
      </c>
      <c r="M71" s="10" t="s">
        <v>77</v>
      </c>
      <c r="N71" s="30" t="s">
        <v>219</v>
      </c>
    </row>
    <row r="72" customFormat="false" ht="18" hidden="false" customHeight="true" outlineLevel="0" collapsed="false">
      <c r="A72" s="30" t="s">
        <v>56</v>
      </c>
      <c r="B72" s="9" t="s">
        <v>220</v>
      </c>
      <c r="C72" s="10" t="s">
        <v>200</v>
      </c>
      <c r="D72" s="30" t="s">
        <v>76</v>
      </c>
      <c r="E72" s="11" t="n">
        <v>4500</v>
      </c>
      <c r="F72" s="12" t="s">
        <v>77</v>
      </c>
      <c r="G72" s="13" t="n">
        <v>5000</v>
      </c>
      <c r="H72" s="13" t="n">
        <v>4800</v>
      </c>
      <c r="I72" s="17" t="n">
        <v>-0.1</v>
      </c>
      <c r="J72" s="18" t="s">
        <v>103</v>
      </c>
      <c r="K72" s="10" t="s">
        <v>77</v>
      </c>
      <c r="L72" s="10" t="s">
        <v>77</v>
      </c>
      <c r="M72" s="10" t="s">
        <v>77</v>
      </c>
      <c r="N72" s="30" t="s">
        <v>221</v>
      </c>
    </row>
    <row r="73" customFormat="false" ht="18" hidden="false" customHeight="true" outlineLevel="0" collapsed="false">
      <c r="A73" s="30" t="s">
        <v>56</v>
      </c>
      <c r="B73" s="9" t="s">
        <v>222</v>
      </c>
      <c r="C73" s="10" t="s">
        <v>200</v>
      </c>
      <c r="D73" s="30" t="s">
        <v>76</v>
      </c>
      <c r="E73" s="11" t="n">
        <v>2800</v>
      </c>
      <c r="F73" s="12" t="s">
        <v>77</v>
      </c>
      <c r="G73" s="13" t="n">
        <v>3100</v>
      </c>
      <c r="H73" s="13" t="n">
        <v>2900</v>
      </c>
      <c r="I73" s="14" t="n">
        <v>-0.0967741935483871</v>
      </c>
      <c r="J73" s="15" t="s">
        <v>78</v>
      </c>
      <c r="K73" s="10" t="s">
        <v>77</v>
      </c>
      <c r="L73" s="10" t="s">
        <v>77</v>
      </c>
      <c r="M73" s="10" t="s">
        <v>77</v>
      </c>
      <c r="N73" s="30" t="s">
        <v>223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7" min="4" style="0" width="13"/>
    <col collapsed="false" customWidth="true" hidden="false" outlineLevel="0" max="8" min="8" style="0" width="11"/>
    <col collapsed="false" customWidth="true" hidden="false" outlineLevel="0" max="11" min="9" style="0" width="16"/>
  </cols>
  <sheetData>
    <row r="1" customFormat="false" ht="30" hidden="false" customHeight="true" outlineLevel="0" collapsed="false">
      <c r="A1" s="6" t="s">
        <v>224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customFormat="false" ht="15.75" hidden="false" customHeight="true" outlineLevel="0" collapsed="false">
      <c r="A2" s="2" t="s">
        <v>225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6" hidden="false" customHeight="true" outlineLevel="0" collapsed="false">
      <c r="A3" s="7" t="s">
        <v>60</v>
      </c>
      <c r="B3" s="7" t="s">
        <v>61</v>
      </c>
      <c r="C3" s="7" t="s">
        <v>226</v>
      </c>
      <c r="D3" s="7" t="s">
        <v>227</v>
      </c>
      <c r="E3" s="7" t="s">
        <v>228</v>
      </c>
      <c r="F3" s="7" t="s">
        <v>229</v>
      </c>
      <c r="G3" s="7" t="s">
        <v>230</v>
      </c>
      <c r="H3" s="7" t="s">
        <v>231</v>
      </c>
      <c r="I3" s="7" t="s">
        <v>232</v>
      </c>
      <c r="J3" s="7" t="s">
        <v>233</v>
      </c>
      <c r="K3" s="7" t="s">
        <v>234</v>
      </c>
    </row>
    <row r="4" customFormat="false" ht="18" hidden="false" customHeight="true" outlineLevel="0" collapsed="false">
      <c r="A4" s="21" t="s">
        <v>54</v>
      </c>
      <c r="B4" s="21" t="s">
        <v>199</v>
      </c>
      <c r="C4" s="10" t="s">
        <v>200</v>
      </c>
      <c r="D4" s="13" t="n">
        <v>4500</v>
      </c>
      <c r="E4" s="13" t="n">
        <v>10500</v>
      </c>
      <c r="F4" s="13" t="n">
        <v>11100</v>
      </c>
      <c r="G4" s="13" t="n">
        <v>6000</v>
      </c>
      <c r="H4" s="31" t="n">
        <v>1.33333333333333</v>
      </c>
      <c r="I4" s="13" t="n">
        <v>54000</v>
      </c>
      <c r="J4" s="13" t="n">
        <v>126000</v>
      </c>
      <c r="K4" s="32" t="n">
        <v>72000</v>
      </c>
    </row>
    <row r="5" customFormat="false" ht="18" hidden="false" customHeight="true" outlineLevel="0" collapsed="false">
      <c r="A5" s="21" t="s">
        <v>54</v>
      </c>
      <c r="B5" s="21" t="s">
        <v>202</v>
      </c>
      <c r="C5" s="10" t="s">
        <v>200</v>
      </c>
      <c r="D5" s="13" t="n">
        <v>2200</v>
      </c>
      <c r="E5" s="13" t="n">
        <v>4200</v>
      </c>
      <c r="F5" s="13" t="n">
        <v>4400</v>
      </c>
      <c r="G5" s="13" t="n">
        <v>2000</v>
      </c>
      <c r="H5" s="31" t="n">
        <v>0.909090909090909</v>
      </c>
      <c r="I5" s="13" t="n">
        <v>26400</v>
      </c>
      <c r="J5" s="13" t="n">
        <v>50400</v>
      </c>
      <c r="K5" s="32" t="n">
        <v>24000</v>
      </c>
    </row>
    <row r="6" customFormat="false" ht="18" hidden="false" customHeight="true" outlineLevel="0" collapsed="false">
      <c r="A6" s="30" t="s">
        <v>56</v>
      </c>
      <c r="B6" s="30" t="s">
        <v>208</v>
      </c>
      <c r="C6" s="10" t="s">
        <v>200</v>
      </c>
      <c r="D6" s="13" t="n">
        <v>5500</v>
      </c>
      <c r="E6" s="13" t="n">
        <v>5900</v>
      </c>
      <c r="F6" s="13" t="n">
        <v>6200</v>
      </c>
      <c r="G6" s="13" t="n">
        <v>400</v>
      </c>
      <c r="H6" s="31" t="n">
        <v>0.0727272727272727</v>
      </c>
      <c r="I6" s="13" t="n">
        <v>66000</v>
      </c>
      <c r="J6" s="13" t="n">
        <v>70800</v>
      </c>
      <c r="K6" s="32" t="n">
        <v>4800</v>
      </c>
    </row>
    <row r="7" customFormat="false" ht="18" hidden="false" customHeight="true" outlineLevel="0" collapsed="false">
      <c r="A7" s="30" t="s">
        <v>56</v>
      </c>
      <c r="B7" s="30" t="s">
        <v>220</v>
      </c>
      <c r="C7" s="10" t="s">
        <v>200</v>
      </c>
      <c r="D7" s="13" t="n">
        <v>4500</v>
      </c>
      <c r="E7" s="13" t="n">
        <v>4800</v>
      </c>
      <c r="F7" s="13" t="n">
        <v>5000</v>
      </c>
      <c r="G7" s="13" t="n">
        <v>300</v>
      </c>
      <c r="H7" s="31" t="n">
        <v>0.0666666666666667</v>
      </c>
      <c r="I7" s="13" t="n">
        <v>54000</v>
      </c>
      <c r="J7" s="13" t="n">
        <v>57600</v>
      </c>
      <c r="K7" s="32" t="n">
        <v>3600</v>
      </c>
    </row>
    <row r="8" customFormat="false" ht="18" hidden="false" customHeight="true" outlineLevel="0" collapsed="false">
      <c r="A8" s="30" t="s">
        <v>56</v>
      </c>
      <c r="B8" s="30" t="s">
        <v>206</v>
      </c>
      <c r="C8" s="10" t="s">
        <v>200</v>
      </c>
      <c r="D8" s="13" t="n">
        <v>3000</v>
      </c>
      <c r="E8" s="13" t="n">
        <v>3200</v>
      </c>
      <c r="F8" s="13" t="n">
        <v>3400</v>
      </c>
      <c r="G8" s="13" t="n">
        <v>200</v>
      </c>
      <c r="H8" s="31" t="n">
        <v>0.0666666666666667</v>
      </c>
      <c r="I8" s="13" t="n">
        <v>36000</v>
      </c>
      <c r="J8" s="13" t="n">
        <v>38400</v>
      </c>
      <c r="K8" s="32" t="n">
        <v>2400</v>
      </c>
    </row>
    <row r="9" customFormat="false" ht="18" hidden="false" customHeight="true" outlineLevel="0" collapsed="false">
      <c r="A9" s="30" t="s">
        <v>56</v>
      </c>
      <c r="B9" s="30" t="s">
        <v>210</v>
      </c>
      <c r="C9" s="10" t="s">
        <v>200</v>
      </c>
      <c r="D9" s="13" t="n">
        <v>2500</v>
      </c>
      <c r="E9" s="13" t="n">
        <v>2700</v>
      </c>
      <c r="F9" s="13" t="n">
        <v>2800</v>
      </c>
      <c r="G9" s="13" t="n">
        <v>200</v>
      </c>
      <c r="H9" s="31" t="n">
        <v>0.08</v>
      </c>
      <c r="I9" s="13" t="n">
        <v>30000</v>
      </c>
      <c r="J9" s="13" t="n">
        <v>32400</v>
      </c>
      <c r="K9" s="32" t="n">
        <v>2400</v>
      </c>
    </row>
    <row r="10" customFormat="false" ht="18" hidden="false" customHeight="true" outlineLevel="0" collapsed="false">
      <c r="A10" s="30" t="s">
        <v>56</v>
      </c>
      <c r="B10" s="30" t="s">
        <v>216</v>
      </c>
      <c r="C10" s="10" t="s">
        <v>200</v>
      </c>
      <c r="D10" s="13" t="n">
        <v>2200</v>
      </c>
      <c r="E10" s="13" t="n">
        <v>2400</v>
      </c>
      <c r="F10" s="13" t="n">
        <v>2500</v>
      </c>
      <c r="G10" s="13" t="n">
        <v>200</v>
      </c>
      <c r="H10" s="31" t="n">
        <v>0.0909090909090909</v>
      </c>
      <c r="I10" s="13" t="n">
        <v>26400</v>
      </c>
      <c r="J10" s="13" t="n">
        <v>28800</v>
      </c>
      <c r="K10" s="32" t="n">
        <v>2400</v>
      </c>
    </row>
    <row r="11" customFormat="false" ht="18" hidden="false" customHeight="true" outlineLevel="0" collapsed="false">
      <c r="A11" s="30" t="s">
        <v>56</v>
      </c>
      <c r="B11" s="30" t="s">
        <v>218</v>
      </c>
      <c r="C11" s="10" t="s">
        <v>200</v>
      </c>
      <c r="D11" s="13" t="n">
        <v>3500</v>
      </c>
      <c r="E11" s="13" t="n">
        <v>3700</v>
      </c>
      <c r="F11" s="13" t="n">
        <v>3900</v>
      </c>
      <c r="G11" s="13" t="n">
        <v>200</v>
      </c>
      <c r="H11" s="31" t="n">
        <v>0.0571428571428571</v>
      </c>
      <c r="I11" s="13" t="n">
        <v>42000</v>
      </c>
      <c r="J11" s="13" t="n">
        <v>44400</v>
      </c>
      <c r="K11" s="32" t="n">
        <v>2400</v>
      </c>
    </row>
    <row r="12" customFormat="false" ht="18" hidden="false" customHeight="true" outlineLevel="0" collapsed="false">
      <c r="A12" s="19" t="s">
        <v>50</v>
      </c>
      <c r="B12" s="19" t="s">
        <v>149</v>
      </c>
      <c r="C12" s="10" t="s">
        <v>75</v>
      </c>
      <c r="D12" s="13" t="n">
        <v>22000</v>
      </c>
      <c r="E12" s="13" t="n">
        <v>23400</v>
      </c>
      <c r="F12" s="13" t="n">
        <v>24600</v>
      </c>
      <c r="G12" s="13" t="n">
        <v>1400</v>
      </c>
      <c r="H12" s="31" t="n">
        <v>0.0636363636363636</v>
      </c>
      <c r="I12" s="13" t="n">
        <v>22000</v>
      </c>
      <c r="J12" s="13" t="n">
        <v>23400</v>
      </c>
      <c r="K12" s="32" t="n">
        <v>1400</v>
      </c>
    </row>
    <row r="13" customFormat="false" ht="18" hidden="false" customHeight="true" outlineLevel="0" collapsed="false">
      <c r="A13" s="20" t="s">
        <v>52</v>
      </c>
      <c r="B13" s="20" t="s">
        <v>173</v>
      </c>
      <c r="C13" s="10" t="s">
        <v>75</v>
      </c>
      <c r="D13" s="13" t="n">
        <v>28000</v>
      </c>
      <c r="E13" s="13" t="n">
        <v>29300</v>
      </c>
      <c r="F13" s="13" t="n">
        <v>30800</v>
      </c>
      <c r="G13" s="13" t="n">
        <v>1300</v>
      </c>
      <c r="H13" s="31" t="n">
        <v>0.0464285714285714</v>
      </c>
      <c r="I13" s="13" t="n">
        <v>28000</v>
      </c>
      <c r="J13" s="13" t="n">
        <v>29300</v>
      </c>
      <c r="K13" s="32" t="n">
        <v>1300</v>
      </c>
    </row>
    <row r="14" customFormat="false" ht="18" hidden="false" customHeight="true" outlineLevel="0" collapsed="false">
      <c r="A14" s="19" t="s">
        <v>50</v>
      </c>
      <c r="B14" s="19" t="s">
        <v>143</v>
      </c>
      <c r="C14" s="10" t="s">
        <v>75</v>
      </c>
      <c r="D14" s="13" t="n">
        <v>18000</v>
      </c>
      <c r="E14" s="13" t="n">
        <v>19200</v>
      </c>
      <c r="F14" s="13" t="n">
        <v>20200</v>
      </c>
      <c r="G14" s="13" t="n">
        <v>1200</v>
      </c>
      <c r="H14" s="31" t="n">
        <v>0.0666666666666667</v>
      </c>
      <c r="I14" s="13" t="n">
        <v>18000</v>
      </c>
      <c r="J14" s="13" t="n">
        <v>19200</v>
      </c>
      <c r="K14" s="32" t="n">
        <v>1200</v>
      </c>
    </row>
    <row r="15" customFormat="false" ht="18" hidden="false" customHeight="true" outlineLevel="0" collapsed="false">
      <c r="A15" s="30" t="s">
        <v>56</v>
      </c>
      <c r="B15" s="30" t="s">
        <v>204</v>
      </c>
      <c r="C15" s="10" t="s">
        <v>200</v>
      </c>
      <c r="D15" s="13" t="n">
        <v>1500</v>
      </c>
      <c r="E15" s="13" t="n">
        <v>1600</v>
      </c>
      <c r="F15" s="13" t="n">
        <v>1700</v>
      </c>
      <c r="G15" s="13" t="n">
        <v>100</v>
      </c>
      <c r="H15" s="31" t="n">
        <v>0.0666666666666667</v>
      </c>
      <c r="I15" s="13" t="n">
        <v>18000</v>
      </c>
      <c r="J15" s="13" t="n">
        <v>19200</v>
      </c>
      <c r="K15" s="32" t="n">
        <v>1200</v>
      </c>
    </row>
    <row r="16" customFormat="false" ht="18" hidden="false" customHeight="true" outlineLevel="0" collapsed="false">
      <c r="A16" s="30" t="s">
        <v>56</v>
      </c>
      <c r="B16" s="30" t="s">
        <v>212</v>
      </c>
      <c r="C16" s="10" t="s">
        <v>200</v>
      </c>
      <c r="D16" s="13" t="n">
        <v>2000</v>
      </c>
      <c r="E16" s="13" t="n">
        <v>2100</v>
      </c>
      <c r="F16" s="13" t="n">
        <v>2200</v>
      </c>
      <c r="G16" s="13" t="n">
        <v>100</v>
      </c>
      <c r="H16" s="31" t="n">
        <v>0.05</v>
      </c>
      <c r="I16" s="13" t="n">
        <v>24000</v>
      </c>
      <c r="J16" s="13" t="n">
        <v>25200</v>
      </c>
      <c r="K16" s="32" t="n">
        <v>1200</v>
      </c>
    </row>
    <row r="17" customFormat="false" ht="18" hidden="false" customHeight="true" outlineLevel="0" collapsed="false">
      <c r="A17" s="30" t="s">
        <v>56</v>
      </c>
      <c r="B17" s="30" t="s">
        <v>214</v>
      </c>
      <c r="C17" s="10" t="s">
        <v>200</v>
      </c>
      <c r="D17" s="13" t="n">
        <v>1800</v>
      </c>
      <c r="E17" s="13" t="n">
        <v>1900</v>
      </c>
      <c r="F17" s="13" t="n">
        <v>2000</v>
      </c>
      <c r="G17" s="13" t="n">
        <v>100</v>
      </c>
      <c r="H17" s="31" t="n">
        <v>0.0555555555555556</v>
      </c>
      <c r="I17" s="13" t="n">
        <v>21600</v>
      </c>
      <c r="J17" s="13" t="n">
        <v>22800</v>
      </c>
      <c r="K17" s="32" t="n">
        <v>1200</v>
      </c>
    </row>
    <row r="18" customFormat="false" ht="18" hidden="false" customHeight="true" outlineLevel="0" collapsed="false">
      <c r="A18" s="30" t="s">
        <v>56</v>
      </c>
      <c r="B18" s="30" t="s">
        <v>222</v>
      </c>
      <c r="C18" s="10" t="s">
        <v>200</v>
      </c>
      <c r="D18" s="13" t="n">
        <v>2800</v>
      </c>
      <c r="E18" s="13" t="n">
        <v>2900</v>
      </c>
      <c r="F18" s="13" t="n">
        <v>3100</v>
      </c>
      <c r="G18" s="13" t="n">
        <v>100</v>
      </c>
      <c r="H18" s="31" t="n">
        <v>0.0357142857142857</v>
      </c>
      <c r="I18" s="13" t="n">
        <v>33600</v>
      </c>
      <c r="J18" s="13" t="n">
        <v>34800</v>
      </c>
      <c r="K18" s="32" t="n">
        <v>1200</v>
      </c>
    </row>
    <row r="19" customFormat="false" ht="18" hidden="false" customHeight="true" outlineLevel="0" collapsed="false">
      <c r="A19" s="8" t="s">
        <v>46</v>
      </c>
      <c r="B19" s="8" t="s">
        <v>82</v>
      </c>
      <c r="C19" s="10" t="s">
        <v>75</v>
      </c>
      <c r="D19" s="13" t="n">
        <v>42000</v>
      </c>
      <c r="E19" s="13" t="n">
        <v>43100</v>
      </c>
      <c r="F19" s="13" t="n">
        <v>45400</v>
      </c>
      <c r="G19" s="13" t="n">
        <v>1100</v>
      </c>
      <c r="H19" s="31" t="n">
        <v>0.0261904761904762</v>
      </c>
      <c r="I19" s="13" t="n">
        <v>42000</v>
      </c>
      <c r="J19" s="13" t="n">
        <v>43100</v>
      </c>
      <c r="K19" s="32" t="n">
        <v>1100</v>
      </c>
    </row>
    <row r="20" customFormat="false" ht="18" hidden="false" customHeight="true" outlineLevel="0" collapsed="false">
      <c r="A20" s="20" t="s">
        <v>52</v>
      </c>
      <c r="B20" s="20" t="s">
        <v>161</v>
      </c>
      <c r="C20" s="10" t="s">
        <v>75</v>
      </c>
      <c r="D20" s="13" t="n">
        <v>25000</v>
      </c>
      <c r="E20" s="13" t="n">
        <v>26100</v>
      </c>
      <c r="F20" s="13" t="n">
        <v>27500</v>
      </c>
      <c r="G20" s="13" t="n">
        <v>1100</v>
      </c>
      <c r="H20" s="31" t="n">
        <v>0.044</v>
      </c>
      <c r="I20" s="13" t="n">
        <v>25000</v>
      </c>
      <c r="J20" s="13" t="n">
        <v>26100</v>
      </c>
      <c r="K20" s="32" t="n">
        <v>1100</v>
      </c>
    </row>
    <row r="21" customFormat="false" ht="18" hidden="false" customHeight="true" outlineLevel="0" collapsed="false">
      <c r="A21" s="8" t="s">
        <v>46</v>
      </c>
      <c r="B21" s="8" t="s">
        <v>86</v>
      </c>
      <c r="C21" s="10" t="s">
        <v>75</v>
      </c>
      <c r="D21" s="13" t="n">
        <v>32000</v>
      </c>
      <c r="E21" s="13" t="n">
        <v>32900</v>
      </c>
      <c r="F21" s="13" t="n">
        <v>34600</v>
      </c>
      <c r="G21" s="13" t="n">
        <v>900</v>
      </c>
      <c r="H21" s="31" t="n">
        <v>0.028125</v>
      </c>
      <c r="I21" s="13" t="n">
        <v>32000</v>
      </c>
      <c r="J21" s="13" t="n">
        <v>32900</v>
      </c>
      <c r="K21" s="32" t="n">
        <v>900</v>
      </c>
    </row>
    <row r="22" customFormat="false" ht="18" hidden="false" customHeight="true" outlineLevel="0" collapsed="false">
      <c r="A22" s="19" t="s">
        <v>50</v>
      </c>
      <c r="B22" s="19" t="s">
        <v>129</v>
      </c>
      <c r="C22" s="10" t="s">
        <v>75</v>
      </c>
      <c r="D22" s="13" t="n">
        <v>14000</v>
      </c>
      <c r="E22" s="13" t="n">
        <v>14900</v>
      </c>
      <c r="F22" s="13" t="n">
        <v>15700</v>
      </c>
      <c r="G22" s="13" t="n">
        <v>900</v>
      </c>
      <c r="H22" s="31" t="n">
        <v>0.0642857142857143</v>
      </c>
      <c r="I22" s="13" t="n">
        <v>14000</v>
      </c>
      <c r="J22" s="13" t="n">
        <v>14900</v>
      </c>
      <c r="K22" s="32" t="n">
        <v>900</v>
      </c>
    </row>
    <row r="23" customFormat="false" ht="18" hidden="false" customHeight="true" outlineLevel="0" collapsed="false">
      <c r="A23" s="20" t="s">
        <v>52</v>
      </c>
      <c r="B23" s="20" t="s">
        <v>167</v>
      </c>
      <c r="C23" s="10" t="s">
        <v>75</v>
      </c>
      <c r="D23" s="13" t="n">
        <v>20000</v>
      </c>
      <c r="E23" s="13" t="n">
        <v>20900</v>
      </c>
      <c r="F23" s="13" t="n">
        <v>22000</v>
      </c>
      <c r="G23" s="13" t="n">
        <v>900</v>
      </c>
      <c r="H23" s="31" t="n">
        <v>0.045</v>
      </c>
      <c r="I23" s="13" t="n">
        <v>20000</v>
      </c>
      <c r="J23" s="13" t="n">
        <v>20900</v>
      </c>
      <c r="K23" s="32" t="n">
        <v>900</v>
      </c>
    </row>
    <row r="24" customFormat="false" ht="18" hidden="false" customHeight="true" outlineLevel="0" collapsed="false">
      <c r="A24" s="20" t="s">
        <v>52</v>
      </c>
      <c r="B24" s="20" t="s">
        <v>159</v>
      </c>
      <c r="C24" s="10" t="s">
        <v>75</v>
      </c>
      <c r="D24" s="13" t="n">
        <v>18000</v>
      </c>
      <c r="E24" s="13" t="n">
        <v>18800</v>
      </c>
      <c r="F24" s="13" t="n">
        <v>19800</v>
      </c>
      <c r="G24" s="13" t="n">
        <v>800</v>
      </c>
      <c r="H24" s="31" t="n">
        <v>0.0444444444444445</v>
      </c>
      <c r="I24" s="13" t="n">
        <v>18000</v>
      </c>
      <c r="J24" s="13" t="n">
        <v>18800</v>
      </c>
      <c r="K24" s="32" t="n">
        <v>800</v>
      </c>
    </row>
    <row r="25" customFormat="false" ht="18" hidden="false" customHeight="true" outlineLevel="0" collapsed="false">
      <c r="A25" s="8" t="s">
        <v>46</v>
      </c>
      <c r="B25" s="8" t="s">
        <v>94</v>
      </c>
      <c r="C25" s="10" t="s">
        <v>75</v>
      </c>
      <c r="D25" s="13" t="n">
        <v>28000</v>
      </c>
      <c r="E25" s="13" t="n">
        <v>28700</v>
      </c>
      <c r="F25" s="13" t="n">
        <v>30200</v>
      </c>
      <c r="G25" s="13" t="n">
        <v>700</v>
      </c>
      <c r="H25" s="31" t="n">
        <v>0.025</v>
      </c>
      <c r="I25" s="13" t="n">
        <v>28000</v>
      </c>
      <c r="J25" s="13" t="n">
        <v>28700</v>
      </c>
      <c r="K25" s="32" t="n">
        <v>700</v>
      </c>
    </row>
    <row r="26" customFormat="false" ht="18" hidden="false" customHeight="true" outlineLevel="0" collapsed="false">
      <c r="A26" s="16" t="s">
        <v>48</v>
      </c>
      <c r="B26" s="16" t="s">
        <v>107</v>
      </c>
      <c r="C26" s="10" t="s">
        <v>75</v>
      </c>
      <c r="D26" s="13" t="n">
        <v>15000</v>
      </c>
      <c r="E26" s="13" t="n">
        <v>15700</v>
      </c>
      <c r="F26" s="13" t="n">
        <v>16500</v>
      </c>
      <c r="G26" s="13" t="n">
        <v>700</v>
      </c>
      <c r="H26" s="31" t="n">
        <v>0.0466666666666667</v>
      </c>
      <c r="I26" s="13" t="n">
        <v>15000</v>
      </c>
      <c r="J26" s="13" t="n">
        <v>15700</v>
      </c>
      <c r="K26" s="32" t="n">
        <v>700</v>
      </c>
    </row>
    <row r="27" customFormat="false" ht="18" hidden="false" customHeight="true" outlineLevel="0" collapsed="false">
      <c r="A27" s="19" t="s">
        <v>50</v>
      </c>
      <c r="B27" s="19" t="s">
        <v>125</v>
      </c>
      <c r="C27" s="10" t="s">
        <v>75</v>
      </c>
      <c r="D27" s="13" t="n">
        <v>12000</v>
      </c>
      <c r="E27" s="13" t="n">
        <v>12700</v>
      </c>
      <c r="F27" s="13" t="n">
        <v>13400</v>
      </c>
      <c r="G27" s="13" t="n">
        <v>700</v>
      </c>
      <c r="H27" s="31" t="n">
        <v>0.0583333333333333</v>
      </c>
      <c r="I27" s="13" t="n">
        <v>12000</v>
      </c>
      <c r="J27" s="13" t="n">
        <v>12700</v>
      </c>
      <c r="K27" s="32" t="n">
        <v>700</v>
      </c>
    </row>
    <row r="28" customFormat="false" ht="18" hidden="false" customHeight="true" outlineLevel="0" collapsed="false">
      <c r="A28" s="19" t="s">
        <v>50</v>
      </c>
      <c r="B28" s="19" t="s">
        <v>147</v>
      </c>
      <c r="C28" s="10" t="s">
        <v>75</v>
      </c>
      <c r="D28" s="13" t="n">
        <v>11000</v>
      </c>
      <c r="E28" s="13" t="n">
        <v>11700</v>
      </c>
      <c r="F28" s="13" t="n">
        <v>12300</v>
      </c>
      <c r="G28" s="13" t="n">
        <v>700</v>
      </c>
      <c r="H28" s="31" t="n">
        <v>0.0636363636363636</v>
      </c>
      <c r="I28" s="13" t="n">
        <v>11000</v>
      </c>
      <c r="J28" s="13" t="n">
        <v>11700</v>
      </c>
      <c r="K28" s="32" t="n">
        <v>700</v>
      </c>
    </row>
    <row r="29" customFormat="false" ht="18" hidden="false" customHeight="true" outlineLevel="0" collapsed="false">
      <c r="A29" s="20" t="s">
        <v>52</v>
      </c>
      <c r="B29" s="20" t="s">
        <v>165</v>
      </c>
      <c r="C29" s="10" t="s">
        <v>75</v>
      </c>
      <c r="D29" s="13" t="n">
        <v>15000</v>
      </c>
      <c r="E29" s="13" t="n">
        <v>15700</v>
      </c>
      <c r="F29" s="13" t="n">
        <v>16500</v>
      </c>
      <c r="G29" s="13" t="n">
        <v>700</v>
      </c>
      <c r="H29" s="31" t="n">
        <v>0.0466666666666667</v>
      </c>
      <c r="I29" s="13" t="n">
        <v>15000</v>
      </c>
      <c r="J29" s="13" t="n">
        <v>15700</v>
      </c>
      <c r="K29" s="32" t="n">
        <v>700</v>
      </c>
    </row>
    <row r="30" customFormat="false" ht="18" hidden="false" customHeight="true" outlineLevel="0" collapsed="false">
      <c r="A30" s="8" t="s">
        <v>46</v>
      </c>
      <c r="B30" s="8" t="s">
        <v>84</v>
      </c>
      <c r="C30" s="10" t="s">
        <v>75</v>
      </c>
      <c r="D30" s="13" t="n">
        <v>22000</v>
      </c>
      <c r="E30" s="13" t="n">
        <v>22600</v>
      </c>
      <c r="F30" s="13" t="n">
        <v>23800</v>
      </c>
      <c r="G30" s="13" t="n">
        <v>600</v>
      </c>
      <c r="H30" s="31" t="n">
        <v>0.0272727272727273</v>
      </c>
      <c r="I30" s="13" t="n">
        <v>22000</v>
      </c>
      <c r="J30" s="13" t="n">
        <v>22600</v>
      </c>
      <c r="K30" s="32" t="n">
        <v>600</v>
      </c>
    </row>
    <row r="31" customFormat="false" ht="18" hidden="false" customHeight="true" outlineLevel="0" collapsed="false">
      <c r="A31" s="19" t="s">
        <v>50</v>
      </c>
      <c r="B31" s="19" t="s">
        <v>141</v>
      </c>
      <c r="C31" s="10" t="s">
        <v>75</v>
      </c>
      <c r="D31" s="13" t="n">
        <v>8000</v>
      </c>
      <c r="E31" s="13" t="n">
        <v>8600</v>
      </c>
      <c r="F31" s="13" t="n">
        <v>9000</v>
      </c>
      <c r="G31" s="13" t="n">
        <v>600</v>
      </c>
      <c r="H31" s="31" t="n">
        <v>0.075</v>
      </c>
      <c r="I31" s="13" t="n">
        <v>8000</v>
      </c>
      <c r="J31" s="13" t="n">
        <v>8600</v>
      </c>
      <c r="K31" s="32" t="n">
        <v>600</v>
      </c>
    </row>
    <row r="32" customFormat="false" ht="18" hidden="false" customHeight="true" outlineLevel="0" collapsed="false">
      <c r="A32" s="16" t="s">
        <v>48</v>
      </c>
      <c r="B32" s="16" t="s">
        <v>117</v>
      </c>
      <c r="C32" s="10" t="s">
        <v>75</v>
      </c>
      <c r="D32" s="13" t="n">
        <v>12000</v>
      </c>
      <c r="E32" s="13" t="n">
        <v>12500</v>
      </c>
      <c r="F32" s="13" t="n">
        <v>13200</v>
      </c>
      <c r="G32" s="13" t="n">
        <v>500</v>
      </c>
      <c r="H32" s="31" t="n">
        <v>0.0416666666666667</v>
      </c>
      <c r="I32" s="13" t="n">
        <v>12000</v>
      </c>
      <c r="J32" s="13" t="n">
        <v>12500</v>
      </c>
      <c r="K32" s="32" t="n">
        <v>500</v>
      </c>
    </row>
    <row r="33" customFormat="false" ht="18" hidden="false" customHeight="true" outlineLevel="0" collapsed="false">
      <c r="A33" s="19" t="s">
        <v>50</v>
      </c>
      <c r="B33" s="19" t="s">
        <v>135</v>
      </c>
      <c r="C33" s="10" t="s">
        <v>75</v>
      </c>
      <c r="D33" s="13" t="n">
        <v>7500</v>
      </c>
      <c r="E33" s="13" t="n">
        <v>8000</v>
      </c>
      <c r="F33" s="13" t="n">
        <v>8400</v>
      </c>
      <c r="G33" s="13" t="n">
        <v>500</v>
      </c>
      <c r="H33" s="31" t="n">
        <v>0.0666666666666667</v>
      </c>
      <c r="I33" s="13" t="n">
        <v>7500</v>
      </c>
      <c r="J33" s="13" t="n">
        <v>8000</v>
      </c>
      <c r="K33" s="32" t="n">
        <v>500</v>
      </c>
    </row>
    <row r="34" customFormat="false" ht="18" hidden="false" customHeight="true" outlineLevel="0" collapsed="false">
      <c r="A34" s="20" t="s">
        <v>52</v>
      </c>
      <c r="B34" s="20" t="s">
        <v>155</v>
      </c>
      <c r="C34" s="10" t="s">
        <v>75</v>
      </c>
      <c r="D34" s="13" t="n">
        <v>12000</v>
      </c>
      <c r="E34" s="13" t="n">
        <v>12500</v>
      </c>
      <c r="F34" s="13" t="n">
        <v>13200</v>
      </c>
      <c r="G34" s="13" t="n">
        <v>500</v>
      </c>
      <c r="H34" s="31" t="n">
        <v>0.0416666666666667</v>
      </c>
      <c r="I34" s="13" t="n">
        <v>12000</v>
      </c>
      <c r="J34" s="13" t="n">
        <v>12500</v>
      </c>
      <c r="K34" s="32" t="n">
        <v>500</v>
      </c>
    </row>
    <row r="35" customFormat="false" ht="18" hidden="false" customHeight="true" outlineLevel="0" collapsed="false">
      <c r="A35" s="20" t="s">
        <v>52</v>
      </c>
      <c r="B35" s="20" t="s">
        <v>169</v>
      </c>
      <c r="C35" s="10" t="s">
        <v>75</v>
      </c>
      <c r="D35" s="13" t="n">
        <v>11000</v>
      </c>
      <c r="E35" s="13" t="n">
        <v>11500</v>
      </c>
      <c r="F35" s="13" t="n">
        <v>12100</v>
      </c>
      <c r="G35" s="13" t="n">
        <v>500</v>
      </c>
      <c r="H35" s="31" t="n">
        <v>0.0454545454545455</v>
      </c>
      <c r="I35" s="13" t="n">
        <v>11000</v>
      </c>
      <c r="J35" s="13" t="n">
        <v>11500</v>
      </c>
      <c r="K35" s="32" t="n">
        <v>500</v>
      </c>
    </row>
    <row r="36" customFormat="false" ht="18" hidden="false" customHeight="true" outlineLevel="0" collapsed="false">
      <c r="A36" s="21" t="s">
        <v>54</v>
      </c>
      <c r="B36" s="21" t="s">
        <v>175</v>
      </c>
      <c r="C36" s="10" t="s">
        <v>75</v>
      </c>
      <c r="D36" s="13" t="n">
        <v>1200</v>
      </c>
      <c r="E36" s="13" t="n">
        <v>1700</v>
      </c>
      <c r="F36" s="13" t="n">
        <v>1800</v>
      </c>
      <c r="G36" s="13" t="n">
        <v>500</v>
      </c>
      <c r="H36" s="31" t="n">
        <v>0.416666666666667</v>
      </c>
      <c r="I36" s="13" t="n">
        <v>1200</v>
      </c>
      <c r="J36" s="13" t="n">
        <v>1700</v>
      </c>
      <c r="K36" s="32" t="n">
        <v>500</v>
      </c>
    </row>
    <row r="37" customFormat="false" ht="18" hidden="false" customHeight="true" outlineLevel="0" collapsed="false">
      <c r="A37" s="8" t="s">
        <v>46</v>
      </c>
      <c r="B37" s="8" t="s">
        <v>80</v>
      </c>
      <c r="C37" s="10" t="s">
        <v>75</v>
      </c>
      <c r="D37" s="13" t="n">
        <v>18000</v>
      </c>
      <c r="E37" s="13" t="n">
        <v>18400</v>
      </c>
      <c r="F37" s="13" t="n">
        <v>19400</v>
      </c>
      <c r="G37" s="13" t="n">
        <v>400</v>
      </c>
      <c r="H37" s="31" t="n">
        <v>0.0222222222222222</v>
      </c>
      <c r="I37" s="13" t="n">
        <v>18000</v>
      </c>
      <c r="J37" s="13" t="n">
        <v>18400</v>
      </c>
      <c r="K37" s="32" t="n">
        <v>400</v>
      </c>
    </row>
    <row r="38" customFormat="false" ht="18" hidden="false" customHeight="true" outlineLevel="0" collapsed="false">
      <c r="A38" s="16" t="s">
        <v>48</v>
      </c>
      <c r="B38" s="16" t="s">
        <v>105</v>
      </c>
      <c r="C38" s="10" t="s">
        <v>75</v>
      </c>
      <c r="D38" s="13" t="n">
        <v>8500</v>
      </c>
      <c r="E38" s="13" t="n">
        <v>8900</v>
      </c>
      <c r="F38" s="13" t="n">
        <v>9400</v>
      </c>
      <c r="G38" s="13" t="n">
        <v>400</v>
      </c>
      <c r="H38" s="31" t="n">
        <v>0.0470588235294118</v>
      </c>
      <c r="I38" s="13" t="n">
        <v>8500</v>
      </c>
      <c r="J38" s="13" t="n">
        <v>8900</v>
      </c>
      <c r="K38" s="32" t="n">
        <v>400</v>
      </c>
    </row>
    <row r="39" customFormat="false" ht="18" hidden="false" customHeight="true" outlineLevel="0" collapsed="false">
      <c r="A39" s="19" t="s">
        <v>50</v>
      </c>
      <c r="B39" s="19" t="s">
        <v>127</v>
      </c>
      <c r="C39" s="10" t="s">
        <v>75</v>
      </c>
      <c r="D39" s="13" t="n">
        <v>6500</v>
      </c>
      <c r="E39" s="13" t="n">
        <v>6900</v>
      </c>
      <c r="F39" s="13" t="n">
        <v>7300</v>
      </c>
      <c r="G39" s="13" t="n">
        <v>400</v>
      </c>
      <c r="H39" s="31" t="n">
        <v>0.0615384615384615</v>
      </c>
      <c r="I39" s="13" t="n">
        <v>6500</v>
      </c>
      <c r="J39" s="13" t="n">
        <v>6900</v>
      </c>
      <c r="K39" s="32" t="n">
        <v>400</v>
      </c>
    </row>
    <row r="40" customFormat="false" ht="18" hidden="false" customHeight="true" outlineLevel="0" collapsed="false">
      <c r="A40" s="19" t="s">
        <v>50</v>
      </c>
      <c r="B40" s="19" t="s">
        <v>131</v>
      </c>
      <c r="C40" s="10" t="s">
        <v>75</v>
      </c>
      <c r="D40" s="13" t="n">
        <v>5500</v>
      </c>
      <c r="E40" s="13" t="n">
        <v>5900</v>
      </c>
      <c r="F40" s="13" t="n">
        <v>6200</v>
      </c>
      <c r="G40" s="13" t="n">
        <v>400</v>
      </c>
      <c r="H40" s="31" t="n">
        <v>0.0727272727272727</v>
      </c>
      <c r="I40" s="13" t="n">
        <v>5500</v>
      </c>
      <c r="J40" s="13" t="n">
        <v>5900</v>
      </c>
      <c r="K40" s="32" t="n">
        <v>400</v>
      </c>
    </row>
    <row r="41" customFormat="false" ht="18" hidden="false" customHeight="true" outlineLevel="0" collapsed="false">
      <c r="A41" s="20" t="s">
        <v>52</v>
      </c>
      <c r="B41" s="20" t="s">
        <v>153</v>
      </c>
      <c r="C41" s="10" t="s">
        <v>75</v>
      </c>
      <c r="D41" s="13" t="n">
        <v>8500</v>
      </c>
      <c r="E41" s="13" t="n">
        <v>8900</v>
      </c>
      <c r="F41" s="13" t="n">
        <v>9400</v>
      </c>
      <c r="G41" s="13" t="n">
        <v>400</v>
      </c>
      <c r="H41" s="31" t="n">
        <v>0.0470588235294118</v>
      </c>
      <c r="I41" s="13" t="n">
        <v>8500</v>
      </c>
      <c r="J41" s="13" t="n">
        <v>8900</v>
      </c>
      <c r="K41" s="32" t="n">
        <v>400</v>
      </c>
    </row>
    <row r="42" customFormat="false" ht="18" hidden="false" customHeight="true" outlineLevel="0" collapsed="false">
      <c r="A42" s="20" t="s">
        <v>52</v>
      </c>
      <c r="B42" s="20" t="s">
        <v>157</v>
      </c>
      <c r="C42" s="10" t="s">
        <v>75</v>
      </c>
      <c r="D42" s="13" t="n">
        <v>8000</v>
      </c>
      <c r="E42" s="13" t="n">
        <v>8400</v>
      </c>
      <c r="F42" s="13" t="n">
        <v>8800</v>
      </c>
      <c r="G42" s="13" t="n">
        <v>400</v>
      </c>
      <c r="H42" s="31" t="n">
        <v>0.05</v>
      </c>
      <c r="I42" s="13" t="n">
        <v>8000</v>
      </c>
      <c r="J42" s="13" t="n">
        <v>8400</v>
      </c>
      <c r="K42" s="32" t="n">
        <v>400</v>
      </c>
    </row>
    <row r="43" customFormat="false" ht="18" hidden="false" customHeight="true" outlineLevel="0" collapsed="false">
      <c r="A43" s="20" t="s">
        <v>52</v>
      </c>
      <c r="B43" s="20" t="s">
        <v>163</v>
      </c>
      <c r="C43" s="10" t="s">
        <v>75</v>
      </c>
      <c r="D43" s="13" t="n">
        <v>8500</v>
      </c>
      <c r="E43" s="13" t="n">
        <v>8900</v>
      </c>
      <c r="F43" s="13" t="n">
        <v>9400</v>
      </c>
      <c r="G43" s="13" t="n">
        <v>400</v>
      </c>
      <c r="H43" s="31" t="n">
        <v>0.0470588235294118</v>
      </c>
      <c r="I43" s="13" t="n">
        <v>8500</v>
      </c>
      <c r="J43" s="13" t="n">
        <v>8900</v>
      </c>
      <c r="K43" s="32" t="n">
        <v>400</v>
      </c>
    </row>
    <row r="44" customFormat="false" ht="18" hidden="false" customHeight="true" outlineLevel="0" collapsed="false">
      <c r="A44" s="20" t="s">
        <v>52</v>
      </c>
      <c r="B44" s="20" t="s">
        <v>171</v>
      </c>
      <c r="C44" s="10" t="s">
        <v>75</v>
      </c>
      <c r="D44" s="13" t="n">
        <v>9500</v>
      </c>
      <c r="E44" s="13" t="n">
        <v>9900</v>
      </c>
      <c r="F44" s="13" t="n">
        <v>10400</v>
      </c>
      <c r="G44" s="13" t="n">
        <v>400</v>
      </c>
      <c r="H44" s="31" t="n">
        <v>0.0421052631578947</v>
      </c>
      <c r="I44" s="13" t="n">
        <v>9500</v>
      </c>
      <c r="J44" s="13" t="n">
        <v>9900</v>
      </c>
      <c r="K44" s="32" t="n">
        <v>400</v>
      </c>
    </row>
    <row r="45" customFormat="false" ht="18" hidden="false" customHeight="true" outlineLevel="0" collapsed="false">
      <c r="A45" s="8" t="s">
        <v>46</v>
      </c>
      <c r="B45" s="8" t="s">
        <v>90</v>
      </c>
      <c r="C45" s="10" t="s">
        <v>75</v>
      </c>
      <c r="D45" s="13" t="n">
        <v>9500</v>
      </c>
      <c r="E45" s="13" t="n">
        <v>9800</v>
      </c>
      <c r="F45" s="13" t="n">
        <v>10300</v>
      </c>
      <c r="G45" s="13" t="n">
        <v>300</v>
      </c>
      <c r="H45" s="31" t="n">
        <v>0.0315789473684211</v>
      </c>
      <c r="I45" s="13" t="n">
        <v>9500</v>
      </c>
      <c r="J45" s="13" t="n">
        <v>9800</v>
      </c>
      <c r="K45" s="32" t="n">
        <v>300</v>
      </c>
    </row>
    <row r="46" customFormat="false" ht="18" hidden="false" customHeight="true" outlineLevel="0" collapsed="false">
      <c r="A46" s="8" t="s">
        <v>46</v>
      </c>
      <c r="B46" s="8" t="s">
        <v>96</v>
      </c>
      <c r="C46" s="10" t="s">
        <v>75</v>
      </c>
      <c r="D46" s="13" t="n">
        <v>14000</v>
      </c>
      <c r="E46" s="13" t="n">
        <v>14300</v>
      </c>
      <c r="F46" s="13" t="n">
        <v>15100</v>
      </c>
      <c r="G46" s="13" t="n">
        <v>300</v>
      </c>
      <c r="H46" s="31" t="n">
        <v>0.0214285714285714</v>
      </c>
      <c r="I46" s="13" t="n">
        <v>14000</v>
      </c>
      <c r="J46" s="13" t="n">
        <v>14300</v>
      </c>
      <c r="K46" s="32" t="n">
        <v>300</v>
      </c>
    </row>
    <row r="47" customFormat="false" ht="18" hidden="false" customHeight="true" outlineLevel="0" collapsed="false">
      <c r="A47" s="16" t="s">
        <v>48</v>
      </c>
      <c r="B47" s="16" t="s">
        <v>109</v>
      </c>
      <c r="C47" s="10" t="s">
        <v>75</v>
      </c>
      <c r="D47" s="13" t="n">
        <v>4500</v>
      </c>
      <c r="E47" s="13" t="n">
        <v>4800</v>
      </c>
      <c r="F47" s="13" t="n">
        <v>5000</v>
      </c>
      <c r="G47" s="13" t="n">
        <v>300</v>
      </c>
      <c r="H47" s="31" t="n">
        <v>0.0666666666666667</v>
      </c>
      <c r="I47" s="13" t="n">
        <v>4500</v>
      </c>
      <c r="J47" s="13" t="n">
        <v>4800</v>
      </c>
      <c r="K47" s="32" t="n">
        <v>300</v>
      </c>
    </row>
    <row r="48" customFormat="false" ht="18" hidden="false" customHeight="true" outlineLevel="0" collapsed="false">
      <c r="A48" s="16" t="s">
        <v>48</v>
      </c>
      <c r="B48" s="16" t="s">
        <v>113</v>
      </c>
      <c r="C48" s="10" t="s">
        <v>75</v>
      </c>
      <c r="D48" s="13" t="n">
        <v>5500</v>
      </c>
      <c r="E48" s="13" t="n">
        <v>5800</v>
      </c>
      <c r="F48" s="13" t="n">
        <v>6100</v>
      </c>
      <c r="G48" s="13" t="n">
        <v>300</v>
      </c>
      <c r="H48" s="31" t="n">
        <v>0.0545454545454545</v>
      </c>
      <c r="I48" s="13" t="n">
        <v>5500</v>
      </c>
      <c r="J48" s="13" t="n">
        <v>5800</v>
      </c>
      <c r="K48" s="32" t="n">
        <v>300</v>
      </c>
    </row>
    <row r="49" customFormat="false" ht="18" hidden="false" customHeight="true" outlineLevel="0" collapsed="false">
      <c r="A49" s="16" t="s">
        <v>48</v>
      </c>
      <c r="B49" s="16" t="s">
        <v>123</v>
      </c>
      <c r="C49" s="10" t="s">
        <v>75</v>
      </c>
      <c r="D49" s="13" t="n">
        <v>6500</v>
      </c>
      <c r="E49" s="13" t="n">
        <v>6800</v>
      </c>
      <c r="F49" s="13" t="n">
        <v>7200</v>
      </c>
      <c r="G49" s="13" t="n">
        <v>300</v>
      </c>
      <c r="H49" s="31" t="n">
        <v>0.0461538461538462</v>
      </c>
      <c r="I49" s="13" t="n">
        <v>6500</v>
      </c>
      <c r="J49" s="13" t="n">
        <v>6800</v>
      </c>
      <c r="K49" s="32" t="n">
        <v>300</v>
      </c>
    </row>
    <row r="50" customFormat="false" ht="18" hidden="false" customHeight="true" outlineLevel="0" collapsed="false">
      <c r="A50" s="19" t="s">
        <v>50</v>
      </c>
      <c r="B50" s="19" t="s">
        <v>133</v>
      </c>
      <c r="C50" s="10" t="s">
        <v>75</v>
      </c>
      <c r="D50" s="13" t="n">
        <v>4000</v>
      </c>
      <c r="E50" s="13" t="n">
        <v>4300</v>
      </c>
      <c r="F50" s="13" t="n">
        <v>4500</v>
      </c>
      <c r="G50" s="13" t="n">
        <v>300</v>
      </c>
      <c r="H50" s="31" t="n">
        <v>0.075</v>
      </c>
      <c r="I50" s="13" t="n">
        <v>4000</v>
      </c>
      <c r="J50" s="13" t="n">
        <v>4300</v>
      </c>
      <c r="K50" s="32" t="n">
        <v>300</v>
      </c>
    </row>
    <row r="51" customFormat="false" ht="18" hidden="false" customHeight="true" outlineLevel="0" collapsed="false">
      <c r="A51" s="19" t="s">
        <v>50</v>
      </c>
      <c r="B51" s="19" t="s">
        <v>137</v>
      </c>
      <c r="C51" s="10" t="s">
        <v>75</v>
      </c>
      <c r="D51" s="13" t="n">
        <v>5000</v>
      </c>
      <c r="E51" s="13" t="n">
        <v>5300</v>
      </c>
      <c r="F51" s="13" t="n">
        <v>5600</v>
      </c>
      <c r="G51" s="13" t="n">
        <v>300</v>
      </c>
      <c r="H51" s="31" t="n">
        <v>0.06</v>
      </c>
      <c r="I51" s="13" t="n">
        <v>5000</v>
      </c>
      <c r="J51" s="13" t="n">
        <v>5300</v>
      </c>
      <c r="K51" s="32" t="n">
        <v>300</v>
      </c>
    </row>
    <row r="52" customFormat="false" ht="18" hidden="false" customHeight="true" outlineLevel="0" collapsed="false">
      <c r="A52" s="19" t="s">
        <v>50</v>
      </c>
      <c r="B52" s="19" t="s">
        <v>139</v>
      </c>
      <c r="C52" s="10" t="s">
        <v>75</v>
      </c>
      <c r="D52" s="13" t="n">
        <v>4500</v>
      </c>
      <c r="E52" s="13" t="n">
        <v>4800</v>
      </c>
      <c r="F52" s="13" t="n">
        <v>5000</v>
      </c>
      <c r="G52" s="13" t="n">
        <v>300</v>
      </c>
      <c r="H52" s="31" t="n">
        <v>0.0666666666666667</v>
      </c>
      <c r="I52" s="13" t="n">
        <v>4500</v>
      </c>
      <c r="J52" s="13" t="n">
        <v>4800</v>
      </c>
      <c r="K52" s="32" t="n">
        <v>300</v>
      </c>
    </row>
    <row r="53" customFormat="false" ht="18" hidden="false" customHeight="true" outlineLevel="0" collapsed="false">
      <c r="A53" s="8" t="s">
        <v>46</v>
      </c>
      <c r="B53" s="8" t="s">
        <v>74</v>
      </c>
      <c r="C53" s="10" t="s">
        <v>75</v>
      </c>
      <c r="D53" s="13" t="n">
        <v>8500</v>
      </c>
      <c r="E53" s="13" t="n">
        <v>8700</v>
      </c>
      <c r="F53" s="13" t="n">
        <v>9200</v>
      </c>
      <c r="G53" s="13" t="n">
        <v>200</v>
      </c>
      <c r="H53" s="31" t="n">
        <v>0.0235294117647059</v>
      </c>
      <c r="I53" s="13" t="n">
        <v>8500</v>
      </c>
      <c r="J53" s="13" t="n">
        <v>8700</v>
      </c>
      <c r="K53" s="32" t="n">
        <v>200</v>
      </c>
    </row>
    <row r="54" customFormat="false" ht="18" hidden="false" customHeight="true" outlineLevel="0" collapsed="false">
      <c r="A54" s="8" t="s">
        <v>46</v>
      </c>
      <c r="B54" s="8" t="s">
        <v>88</v>
      </c>
      <c r="C54" s="10" t="s">
        <v>75</v>
      </c>
      <c r="D54" s="13" t="n">
        <v>4500</v>
      </c>
      <c r="E54" s="13" t="n">
        <v>4700</v>
      </c>
      <c r="F54" s="13" t="n">
        <v>4900</v>
      </c>
      <c r="G54" s="13" t="n">
        <v>200</v>
      </c>
      <c r="H54" s="31" t="n">
        <v>0.0444444444444445</v>
      </c>
      <c r="I54" s="13" t="n">
        <v>4500</v>
      </c>
      <c r="J54" s="13" t="n">
        <v>4700</v>
      </c>
      <c r="K54" s="32" t="n">
        <v>200</v>
      </c>
    </row>
    <row r="55" customFormat="false" ht="18" hidden="false" customHeight="true" outlineLevel="0" collapsed="false">
      <c r="A55" s="16" t="s">
        <v>48</v>
      </c>
      <c r="B55" s="16" t="s">
        <v>102</v>
      </c>
      <c r="C55" s="10" t="s">
        <v>75</v>
      </c>
      <c r="D55" s="13" t="n">
        <v>3500</v>
      </c>
      <c r="E55" s="13" t="n">
        <v>3700</v>
      </c>
      <c r="F55" s="13" t="n">
        <v>3900</v>
      </c>
      <c r="G55" s="13" t="n">
        <v>200</v>
      </c>
      <c r="H55" s="31" t="n">
        <v>0.0571428571428571</v>
      </c>
      <c r="I55" s="13" t="n">
        <v>3500</v>
      </c>
      <c r="J55" s="13" t="n">
        <v>3700</v>
      </c>
      <c r="K55" s="32" t="n">
        <v>200</v>
      </c>
    </row>
    <row r="56" customFormat="false" ht="18" hidden="false" customHeight="true" outlineLevel="0" collapsed="false">
      <c r="A56" s="16" t="s">
        <v>48</v>
      </c>
      <c r="B56" s="16" t="s">
        <v>115</v>
      </c>
      <c r="C56" s="10" t="s">
        <v>75</v>
      </c>
      <c r="D56" s="13" t="n">
        <v>4000</v>
      </c>
      <c r="E56" s="13" t="n">
        <v>4200</v>
      </c>
      <c r="F56" s="13" t="n">
        <v>4400</v>
      </c>
      <c r="G56" s="13" t="n">
        <v>200</v>
      </c>
      <c r="H56" s="31" t="n">
        <v>0.05</v>
      </c>
      <c r="I56" s="13" t="n">
        <v>4000</v>
      </c>
      <c r="J56" s="13" t="n">
        <v>4200</v>
      </c>
      <c r="K56" s="32" t="n">
        <v>200</v>
      </c>
    </row>
    <row r="57" customFormat="false" ht="18" hidden="false" customHeight="true" outlineLevel="0" collapsed="false">
      <c r="A57" s="16" t="s">
        <v>48</v>
      </c>
      <c r="B57" s="16" t="s">
        <v>119</v>
      </c>
      <c r="C57" s="10" t="s">
        <v>75</v>
      </c>
      <c r="D57" s="13" t="n">
        <v>5000</v>
      </c>
      <c r="E57" s="13" t="n">
        <v>5200</v>
      </c>
      <c r="F57" s="13" t="n">
        <v>5500</v>
      </c>
      <c r="G57" s="13" t="n">
        <v>200</v>
      </c>
      <c r="H57" s="31" t="n">
        <v>0.04</v>
      </c>
      <c r="I57" s="13" t="n">
        <v>5000</v>
      </c>
      <c r="J57" s="13" t="n">
        <v>5200</v>
      </c>
      <c r="K57" s="32" t="n">
        <v>200</v>
      </c>
    </row>
    <row r="58" customFormat="false" ht="18" hidden="false" customHeight="true" outlineLevel="0" collapsed="false">
      <c r="A58" s="16" t="s">
        <v>48</v>
      </c>
      <c r="B58" s="16" t="s">
        <v>121</v>
      </c>
      <c r="C58" s="10" t="s">
        <v>75</v>
      </c>
      <c r="D58" s="13" t="n">
        <v>3500</v>
      </c>
      <c r="E58" s="13" t="n">
        <v>3700</v>
      </c>
      <c r="F58" s="13" t="n">
        <v>3900</v>
      </c>
      <c r="G58" s="13" t="n">
        <v>200</v>
      </c>
      <c r="H58" s="31" t="n">
        <v>0.0571428571428571</v>
      </c>
      <c r="I58" s="13" t="n">
        <v>3500</v>
      </c>
      <c r="J58" s="13" t="n">
        <v>3700</v>
      </c>
      <c r="K58" s="32" t="n">
        <v>200</v>
      </c>
    </row>
    <row r="59" customFormat="false" ht="18" hidden="false" customHeight="true" outlineLevel="0" collapsed="false">
      <c r="A59" s="19" t="s">
        <v>50</v>
      </c>
      <c r="B59" s="19" t="s">
        <v>145</v>
      </c>
      <c r="C59" s="10" t="s">
        <v>75</v>
      </c>
      <c r="D59" s="13" t="n">
        <v>3500</v>
      </c>
      <c r="E59" s="13" t="n">
        <v>3700</v>
      </c>
      <c r="F59" s="13" t="n">
        <v>3900</v>
      </c>
      <c r="G59" s="13" t="n">
        <v>200</v>
      </c>
      <c r="H59" s="31" t="n">
        <v>0.0571428571428571</v>
      </c>
      <c r="I59" s="13" t="n">
        <v>3500</v>
      </c>
      <c r="J59" s="13" t="n">
        <v>3700</v>
      </c>
      <c r="K59" s="32" t="n">
        <v>200</v>
      </c>
    </row>
    <row r="60" customFormat="false" ht="18" hidden="false" customHeight="true" outlineLevel="0" collapsed="false">
      <c r="A60" s="20" t="s">
        <v>52</v>
      </c>
      <c r="B60" s="20" t="s">
        <v>151</v>
      </c>
      <c r="C60" s="10" t="s">
        <v>75</v>
      </c>
      <c r="D60" s="13" t="n">
        <v>3500</v>
      </c>
      <c r="E60" s="13" t="n">
        <v>3700</v>
      </c>
      <c r="F60" s="13" t="n">
        <v>3900</v>
      </c>
      <c r="G60" s="13" t="n">
        <v>200</v>
      </c>
      <c r="H60" s="31" t="n">
        <v>0.0571428571428571</v>
      </c>
      <c r="I60" s="13" t="n">
        <v>3500</v>
      </c>
      <c r="J60" s="13" t="n">
        <v>3700</v>
      </c>
      <c r="K60" s="32" t="n">
        <v>200</v>
      </c>
    </row>
    <row r="61" customFormat="false" ht="18" hidden="false" customHeight="true" outlineLevel="0" collapsed="false">
      <c r="A61" s="8" t="s">
        <v>46</v>
      </c>
      <c r="B61" s="8" t="s">
        <v>92</v>
      </c>
      <c r="C61" s="10" t="s">
        <v>75</v>
      </c>
      <c r="D61" s="13" t="n">
        <v>5500</v>
      </c>
      <c r="E61" s="13" t="n">
        <v>5600</v>
      </c>
      <c r="F61" s="13" t="n">
        <v>5900</v>
      </c>
      <c r="G61" s="13" t="n">
        <v>100</v>
      </c>
      <c r="H61" s="31" t="n">
        <v>0.0181818181818182</v>
      </c>
      <c r="I61" s="13" t="n">
        <v>5500</v>
      </c>
      <c r="J61" s="13" t="n">
        <v>5600</v>
      </c>
      <c r="K61" s="32" t="n">
        <v>100</v>
      </c>
    </row>
    <row r="62" customFormat="false" ht="18" hidden="false" customHeight="true" outlineLevel="0" collapsed="false">
      <c r="A62" s="8" t="s">
        <v>46</v>
      </c>
      <c r="B62" s="8" t="s">
        <v>98</v>
      </c>
      <c r="C62" s="10" t="s">
        <v>75</v>
      </c>
      <c r="D62" s="13" t="n">
        <v>6500</v>
      </c>
      <c r="E62" s="13" t="n">
        <v>6600</v>
      </c>
      <c r="F62" s="13" t="n">
        <v>7000</v>
      </c>
      <c r="G62" s="13" t="n">
        <v>100</v>
      </c>
      <c r="H62" s="31" t="n">
        <v>0.0153846153846154</v>
      </c>
      <c r="I62" s="13" t="n">
        <v>6500</v>
      </c>
      <c r="J62" s="13" t="n">
        <v>6600</v>
      </c>
      <c r="K62" s="32" t="n">
        <v>100</v>
      </c>
    </row>
    <row r="63" customFormat="false" ht="18" hidden="false" customHeight="true" outlineLevel="0" collapsed="false">
      <c r="A63" s="8" t="s">
        <v>46</v>
      </c>
      <c r="B63" s="8" t="s">
        <v>100</v>
      </c>
      <c r="C63" s="10" t="s">
        <v>75</v>
      </c>
      <c r="D63" s="13" t="n">
        <v>3500</v>
      </c>
      <c r="E63" s="13" t="n">
        <v>3600</v>
      </c>
      <c r="F63" s="13" t="n">
        <v>3800</v>
      </c>
      <c r="G63" s="13" t="n">
        <v>100</v>
      </c>
      <c r="H63" s="31" t="n">
        <v>0.0285714285714286</v>
      </c>
      <c r="I63" s="13" t="n">
        <v>3500</v>
      </c>
      <c r="J63" s="13" t="n">
        <v>3600</v>
      </c>
      <c r="K63" s="32" t="n">
        <v>100</v>
      </c>
    </row>
    <row r="64" customFormat="false" ht="18" hidden="false" customHeight="true" outlineLevel="0" collapsed="false">
      <c r="A64" s="16" t="s">
        <v>48</v>
      </c>
      <c r="B64" s="16" t="s">
        <v>111</v>
      </c>
      <c r="C64" s="10" t="s">
        <v>75</v>
      </c>
      <c r="D64" s="13" t="n">
        <v>3000</v>
      </c>
      <c r="E64" s="13" t="n">
        <v>3100</v>
      </c>
      <c r="F64" s="13" t="n">
        <v>3300</v>
      </c>
      <c r="G64" s="13" t="n">
        <v>100</v>
      </c>
      <c r="H64" s="31" t="n">
        <v>0.0333333333333333</v>
      </c>
      <c r="I64" s="13" t="n">
        <v>3000</v>
      </c>
      <c r="J64" s="13" t="n">
        <v>3100</v>
      </c>
      <c r="K64" s="32" t="n">
        <v>100</v>
      </c>
    </row>
    <row r="65" customFormat="false" ht="18" hidden="false" customHeight="true" outlineLevel="0" collapsed="false">
      <c r="A65" s="21" t="s">
        <v>54</v>
      </c>
      <c r="B65" s="21" t="s">
        <v>179</v>
      </c>
      <c r="C65" s="10" t="s">
        <v>75</v>
      </c>
      <c r="D65" s="13" t="n">
        <v>2800</v>
      </c>
      <c r="E65" s="13" t="n">
        <v>2100</v>
      </c>
      <c r="F65" s="13" t="n">
        <v>2200</v>
      </c>
      <c r="G65" s="13" t="n">
        <v>-700</v>
      </c>
      <c r="H65" s="31" t="n">
        <v>-0.25</v>
      </c>
      <c r="I65" s="13" t="n">
        <v>2800</v>
      </c>
      <c r="J65" s="13" t="n">
        <v>2100</v>
      </c>
      <c r="K65" s="33" t="n">
        <v>-700</v>
      </c>
    </row>
    <row r="66" customFormat="false" ht="18" hidden="false" customHeight="true" outlineLevel="0" collapsed="false">
      <c r="A66" s="21" t="s">
        <v>54</v>
      </c>
      <c r="B66" s="21" t="s">
        <v>184</v>
      </c>
      <c r="C66" s="10" t="s">
        <v>75</v>
      </c>
      <c r="D66" s="13" t="n">
        <v>3500</v>
      </c>
      <c r="E66" s="13" t="n">
        <v>2600</v>
      </c>
      <c r="F66" s="13" t="n">
        <v>2700</v>
      </c>
      <c r="G66" s="13" t="n">
        <v>-900</v>
      </c>
      <c r="H66" s="31" t="n">
        <v>-0.257142857142857</v>
      </c>
      <c r="I66" s="13" t="n">
        <v>3500</v>
      </c>
      <c r="J66" s="13" t="n">
        <v>2600</v>
      </c>
      <c r="K66" s="33" t="n">
        <v>-900</v>
      </c>
    </row>
    <row r="67" customFormat="false" ht="18" hidden="false" customHeight="true" outlineLevel="0" collapsed="false">
      <c r="A67" s="21" t="s">
        <v>54</v>
      </c>
      <c r="B67" s="21" t="s">
        <v>193</v>
      </c>
      <c r="C67" s="10" t="s">
        <v>75</v>
      </c>
      <c r="D67" s="13" t="n">
        <v>4200</v>
      </c>
      <c r="E67" s="13" t="n">
        <v>3300</v>
      </c>
      <c r="F67" s="13" t="n">
        <v>3500</v>
      </c>
      <c r="G67" s="13" t="n">
        <v>-900</v>
      </c>
      <c r="H67" s="31" t="n">
        <v>-0.214285714285714</v>
      </c>
      <c r="I67" s="13" t="n">
        <v>4200</v>
      </c>
      <c r="J67" s="13" t="n">
        <v>3300</v>
      </c>
      <c r="K67" s="33" t="n">
        <v>-900</v>
      </c>
    </row>
    <row r="68" customFormat="false" ht="18" hidden="false" customHeight="true" outlineLevel="0" collapsed="false">
      <c r="A68" s="21" t="s">
        <v>54</v>
      </c>
      <c r="B68" s="21" t="s">
        <v>197</v>
      </c>
      <c r="C68" s="10" t="s">
        <v>75</v>
      </c>
      <c r="D68" s="13" t="n">
        <v>3500</v>
      </c>
      <c r="E68" s="13" t="n">
        <v>2600</v>
      </c>
      <c r="F68" s="13" t="n">
        <v>2700</v>
      </c>
      <c r="G68" s="13" t="n">
        <v>-900</v>
      </c>
      <c r="H68" s="31" t="n">
        <v>-0.257142857142857</v>
      </c>
      <c r="I68" s="13" t="n">
        <v>3500</v>
      </c>
      <c r="J68" s="13" t="n">
        <v>2600</v>
      </c>
      <c r="K68" s="33" t="n">
        <v>-900</v>
      </c>
    </row>
    <row r="69" customFormat="false" ht="18" hidden="false" customHeight="true" outlineLevel="0" collapsed="false">
      <c r="A69" s="21" t="s">
        <v>54</v>
      </c>
      <c r="B69" s="21" t="s">
        <v>191</v>
      </c>
      <c r="C69" s="10" t="s">
        <v>75</v>
      </c>
      <c r="D69" s="13" t="n">
        <v>3800</v>
      </c>
      <c r="E69" s="13" t="n">
        <v>2800</v>
      </c>
      <c r="F69" s="13" t="n">
        <v>2900</v>
      </c>
      <c r="G69" s="13" t="n">
        <v>-1000</v>
      </c>
      <c r="H69" s="31" t="n">
        <v>-0.263157894736842</v>
      </c>
      <c r="I69" s="13" t="n">
        <v>3800</v>
      </c>
      <c r="J69" s="13" t="n">
        <v>2800</v>
      </c>
      <c r="K69" s="33" t="n">
        <v>-1000</v>
      </c>
    </row>
    <row r="70" customFormat="false" ht="18" hidden="false" customHeight="true" outlineLevel="0" collapsed="false">
      <c r="A70" s="21" t="s">
        <v>54</v>
      </c>
      <c r="B70" s="21" t="s">
        <v>182</v>
      </c>
      <c r="C70" s="10" t="s">
        <v>75</v>
      </c>
      <c r="D70" s="13" t="n">
        <v>5500</v>
      </c>
      <c r="E70" s="13" t="n">
        <v>4200</v>
      </c>
      <c r="F70" s="13" t="n">
        <v>4400</v>
      </c>
      <c r="G70" s="13" t="n">
        <v>-1300</v>
      </c>
      <c r="H70" s="31" t="n">
        <v>-0.236363636363636</v>
      </c>
      <c r="I70" s="13" t="n">
        <v>5500</v>
      </c>
      <c r="J70" s="13" t="n">
        <v>4200</v>
      </c>
      <c r="K70" s="33" t="n">
        <v>-1300</v>
      </c>
    </row>
    <row r="71" customFormat="false" ht="18" hidden="false" customHeight="true" outlineLevel="0" collapsed="false">
      <c r="A71" s="21" t="s">
        <v>54</v>
      </c>
      <c r="B71" s="21" t="s">
        <v>189</v>
      </c>
      <c r="C71" s="10" t="s">
        <v>75</v>
      </c>
      <c r="D71" s="13" t="n">
        <v>4500</v>
      </c>
      <c r="E71" s="13" t="n">
        <v>3100</v>
      </c>
      <c r="F71" s="13" t="n">
        <v>3300</v>
      </c>
      <c r="G71" s="13" t="n">
        <v>-1400</v>
      </c>
      <c r="H71" s="31" t="n">
        <v>-0.311111111111111</v>
      </c>
      <c r="I71" s="13" t="n">
        <v>4500</v>
      </c>
      <c r="J71" s="13" t="n">
        <v>3100</v>
      </c>
      <c r="K71" s="33" t="n">
        <v>-1400</v>
      </c>
    </row>
    <row r="72" customFormat="false" ht="18" hidden="false" customHeight="true" outlineLevel="0" collapsed="false">
      <c r="A72" s="21" t="s">
        <v>54</v>
      </c>
      <c r="B72" s="21" t="s">
        <v>186</v>
      </c>
      <c r="C72" s="10" t="s">
        <v>75</v>
      </c>
      <c r="D72" s="13" t="n">
        <v>6500</v>
      </c>
      <c r="E72" s="13" t="n">
        <v>4200</v>
      </c>
      <c r="F72" s="13" t="n">
        <v>4400</v>
      </c>
      <c r="G72" s="13" t="n">
        <v>-2300</v>
      </c>
      <c r="H72" s="31" t="n">
        <v>-0.353846153846154</v>
      </c>
      <c r="I72" s="13" t="n">
        <v>6500</v>
      </c>
      <c r="J72" s="13" t="n">
        <v>4200</v>
      </c>
      <c r="K72" s="33" t="n">
        <v>-2300</v>
      </c>
    </row>
    <row r="73" customFormat="false" ht="18" hidden="false" customHeight="true" outlineLevel="0" collapsed="false">
      <c r="A73" s="21" t="s">
        <v>54</v>
      </c>
      <c r="B73" s="21" t="s">
        <v>195</v>
      </c>
      <c r="C73" s="10" t="s">
        <v>75</v>
      </c>
      <c r="D73" s="13" t="n">
        <v>8500</v>
      </c>
      <c r="E73" s="13" t="n">
        <v>5400</v>
      </c>
      <c r="F73" s="13" t="n">
        <v>5700</v>
      </c>
      <c r="G73" s="13" t="n">
        <v>-3100</v>
      </c>
      <c r="H73" s="31" t="n">
        <v>-0.364705882352941</v>
      </c>
      <c r="I73" s="13" t="n">
        <v>8500</v>
      </c>
      <c r="J73" s="13" t="n">
        <v>5400</v>
      </c>
      <c r="K73" s="33" t="n">
        <v>-3100</v>
      </c>
    </row>
    <row r="74" customFormat="false" ht="15" hidden="false" customHeight="true" outlineLevel="0" collapsed="false">
      <c r="A74" s="34" t="s">
        <v>235</v>
      </c>
      <c r="B74" s="34"/>
      <c r="C74" s="34"/>
      <c r="D74" s="34"/>
      <c r="E74" s="34"/>
      <c r="F74" s="34"/>
      <c r="G74" s="34"/>
      <c r="H74" s="34"/>
      <c r="I74" s="35" t="n">
        <f aca="false">SUM(I4:I73)</f>
        <v>1029500</v>
      </c>
      <c r="J74" s="35" t="n">
        <f aca="false">SUM(J4:J73)</f>
        <v>1160200</v>
      </c>
      <c r="K74" s="35" t="n">
        <f aca="false">SUM(K4:K73)</f>
        <v>130700</v>
      </c>
    </row>
  </sheetData>
  <mergeCells count="3">
    <mergeCell ref="A1:K1"/>
    <mergeCell ref="A2:K2"/>
    <mergeCell ref="A74:H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0"/>
    <col collapsed="false" customWidth="true" hidden="false" outlineLevel="0" max="9" min="6" style="0" width="13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24"/>
  </cols>
  <sheetData>
    <row r="1" customFormat="false" ht="30" hidden="false" customHeight="true" outlineLevel="0" collapsed="false">
      <c r="A1" s="6" t="s">
        <v>236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5.75" hidden="false" customHeight="true" outlineLevel="0" collapsed="false">
      <c r="A2" s="2" t="s">
        <v>237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42" hidden="false" customHeight="true" outlineLevel="0" collapsed="false">
      <c r="A3" s="7" t="s">
        <v>61</v>
      </c>
      <c r="B3" s="7" t="s">
        <v>226</v>
      </c>
      <c r="C3" s="7" t="s">
        <v>238</v>
      </c>
      <c r="D3" s="7" t="s">
        <v>239</v>
      </c>
      <c r="E3" s="7" t="s">
        <v>240</v>
      </c>
      <c r="F3" s="7" t="s">
        <v>65</v>
      </c>
      <c r="G3" s="7" t="s">
        <v>66</v>
      </c>
      <c r="H3" s="7" t="s">
        <v>67</v>
      </c>
      <c r="I3" s="7" t="s">
        <v>64</v>
      </c>
      <c r="J3" s="7" t="s">
        <v>241</v>
      </c>
      <c r="K3" s="7" t="s">
        <v>242</v>
      </c>
      <c r="L3" s="7" t="s">
        <v>69</v>
      </c>
    </row>
    <row r="4" customFormat="false" ht="19.5" hidden="false" customHeight="true" outlineLevel="0" collapsed="false">
      <c r="A4" s="21" t="s">
        <v>175</v>
      </c>
      <c r="B4" s="10" t="s">
        <v>75</v>
      </c>
      <c r="C4" s="24" t="n">
        <v>2</v>
      </c>
      <c r="D4" s="24" t="n">
        <v>4</v>
      </c>
      <c r="E4" s="24" t="n">
        <v>2</v>
      </c>
      <c r="F4" s="13" t="n">
        <v>1000</v>
      </c>
      <c r="G4" s="13" t="n">
        <v>1800</v>
      </c>
      <c r="H4" s="13" t="n">
        <v>1700</v>
      </c>
      <c r="I4" s="11" t="n">
        <v>1200</v>
      </c>
      <c r="J4" s="17" t="n">
        <v>0.166666666666667</v>
      </c>
      <c r="K4" s="22" t="n">
        <v>-0.333333333333333</v>
      </c>
      <c r="L4" s="23" t="s">
        <v>177</v>
      </c>
    </row>
    <row r="5" customFormat="false" ht="19.5" hidden="false" customHeight="true" outlineLevel="0" collapsed="false">
      <c r="A5" s="21" t="s">
        <v>179</v>
      </c>
      <c r="B5" s="10" t="s">
        <v>75</v>
      </c>
      <c r="C5" s="24" t="n">
        <v>0</v>
      </c>
      <c r="D5" s="24" t="n">
        <v>4</v>
      </c>
      <c r="E5" s="24" t="n">
        <v>4</v>
      </c>
      <c r="F5" s="13" t="n">
        <v>1200</v>
      </c>
      <c r="G5" s="13" t="n">
        <v>2200</v>
      </c>
      <c r="H5" s="13" t="n">
        <v>2100</v>
      </c>
      <c r="I5" s="11" t="n">
        <v>2800</v>
      </c>
      <c r="J5" s="14" t="n">
        <v>0.571428571428571</v>
      </c>
      <c r="K5" s="25" t="n">
        <v>0.272727272727273</v>
      </c>
      <c r="L5" s="26" t="s">
        <v>180</v>
      </c>
    </row>
    <row r="6" customFormat="false" ht="19.5" hidden="false" customHeight="true" outlineLevel="0" collapsed="false">
      <c r="A6" s="21" t="s">
        <v>182</v>
      </c>
      <c r="B6" s="10" t="s">
        <v>75</v>
      </c>
      <c r="C6" s="24" t="n">
        <v>0</v>
      </c>
      <c r="D6" s="24" t="n">
        <v>8</v>
      </c>
      <c r="E6" s="24" t="n">
        <v>8</v>
      </c>
      <c r="F6" s="13" t="n">
        <v>2400</v>
      </c>
      <c r="G6" s="13" t="n">
        <v>4400</v>
      </c>
      <c r="H6" s="13" t="n">
        <v>4200</v>
      </c>
      <c r="I6" s="11" t="n">
        <v>5500</v>
      </c>
      <c r="J6" s="14" t="n">
        <v>0.563636363636364</v>
      </c>
      <c r="K6" s="25" t="n">
        <v>0.25</v>
      </c>
      <c r="L6" s="26" t="s">
        <v>180</v>
      </c>
    </row>
    <row r="7" customFormat="false" ht="19.5" hidden="false" customHeight="true" outlineLevel="0" collapsed="false">
      <c r="A7" s="21" t="s">
        <v>184</v>
      </c>
      <c r="B7" s="10" t="s">
        <v>75</v>
      </c>
      <c r="C7" s="24" t="n">
        <v>0</v>
      </c>
      <c r="D7" s="24" t="n">
        <v>6</v>
      </c>
      <c r="E7" s="24" t="n">
        <v>4</v>
      </c>
      <c r="F7" s="13" t="n">
        <v>1450</v>
      </c>
      <c r="G7" s="13" t="n">
        <v>2700</v>
      </c>
      <c r="H7" s="13" t="n">
        <v>2600</v>
      </c>
      <c r="I7" s="11" t="n">
        <v>3500</v>
      </c>
      <c r="J7" s="14" t="n">
        <v>0.585714285714286</v>
      </c>
      <c r="K7" s="25" t="n">
        <v>0.296296296296296</v>
      </c>
      <c r="L7" s="26" t="s">
        <v>180</v>
      </c>
    </row>
    <row r="8" customFormat="false" ht="19.5" hidden="false" customHeight="true" outlineLevel="0" collapsed="false">
      <c r="A8" s="21" t="s">
        <v>186</v>
      </c>
      <c r="B8" s="10" t="s">
        <v>75</v>
      </c>
      <c r="C8" s="24" t="n">
        <v>0</v>
      </c>
      <c r="D8" s="24" t="n">
        <v>8</v>
      </c>
      <c r="E8" s="24" t="n">
        <v>8</v>
      </c>
      <c r="F8" s="13" t="n">
        <v>2400</v>
      </c>
      <c r="G8" s="13" t="n">
        <v>4400</v>
      </c>
      <c r="H8" s="13" t="n">
        <v>4200</v>
      </c>
      <c r="I8" s="11" t="n">
        <v>6500</v>
      </c>
      <c r="J8" s="14" t="n">
        <v>0.630769230769231</v>
      </c>
      <c r="K8" s="27" t="n">
        <v>0.477272727272727</v>
      </c>
      <c r="L8" s="28" t="s">
        <v>187</v>
      </c>
    </row>
    <row r="9" customFormat="false" ht="19.5" hidden="false" customHeight="true" outlineLevel="0" collapsed="false">
      <c r="A9" s="21" t="s">
        <v>189</v>
      </c>
      <c r="B9" s="10" t="s">
        <v>75</v>
      </c>
      <c r="C9" s="24" t="n">
        <v>0</v>
      </c>
      <c r="D9" s="24" t="n">
        <v>6</v>
      </c>
      <c r="E9" s="24" t="n">
        <v>6</v>
      </c>
      <c r="F9" s="13" t="n">
        <v>1800</v>
      </c>
      <c r="G9" s="13" t="n">
        <v>3300</v>
      </c>
      <c r="H9" s="13" t="n">
        <v>3100</v>
      </c>
      <c r="I9" s="11" t="n">
        <v>4500</v>
      </c>
      <c r="J9" s="14" t="n">
        <v>0.6</v>
      </c>
      <c r="K9" s="27" t="n">
        <v>0.363636363636364</v>
      </c>
      <c r="L9" s="28" t="s">
        <v>187</v>
      </c>
    </row>
    <row r="10" customFormat="false" ht="19.5" hidden="false" customHeight="true" outlineLevel="0" collapsed="false">
      <c r="A10" s="21" t="s">
        <v>191</v>
      </c>
      <c r="B10" s="10" t="s">
        <v>75</v>
      </c>
      <c r="C10" s="24" t="n">
        <v>0</v>
      </c>
      <c r="D10" s="24" t="n">
        <v>4</v>
      </c>
      <c r="E10" s="24" t="n">
        <v>6</v>
      </c>
      <c r="F10" s="13" t="n">
        <v>1550</v>
      </c>
      <c r="G10" s="13" t="n">
        <v>2900</v>
      </c>
      <c r="H10" s="13" t="n">
        <v>2800</v>
      </c>
      <c r="I10" s="11" t="n">
        <v>3800</v>
      </c>
      <c r="J10" s="14" t="n">
        <v>0.592105263157895</v>
      </c>
      <c r="K10" s="27" t="n">
        <v>0.310344827586207</v>
      </c>
      <c r="L10" s="28" t="s">
        <v>187</v>
      </c>
    </row>
    <row r="11" customFormat="false" ht="19.5" hidden="false" customHeight="true" outlineLevel="0" collapsed="false">
      <c r="A11" s="21" t="s">
        <v>193</v>
      </c>
      <c r="B11" s="10" t="s">
        <v>75</v>
      </c>
      <c r="C11" s="24" t="n">
        <v>0</v>
      </c>
      <c r="D11" s="24" t="n">
        <v>4</v>
      </c>
      <c r="E11" s="24" t="n">
        <v>8</v>
      </c>
      <c r="F11" s="13" t="n">
        <v>1900</v>
      </c>
      <c r="G11" s="13" t="n">
        <v>3500</v>
      </c>
      <c r="H11" s="13" t="n">
        <v>3300</v>
      </c>
      <c r="I11" s="11" t="n">
        <v>4200</v>
      </c>
      <c r="J11" s="14" t="n">
        <v>0.547619047619048</v>
      </c>
      <c r="K11" s="25" t="n">
        <v>0.2</v>
      </c>
      <c r="L11" s="26" t="s">
        <v>180</v>
      </c>
    </row>
    <row r="12" customFormat="false" ht="19.5" hidden="false" customHeight="true" outlineLevel="0" collapsed="false">
      <c r="A12" s="21" t="s">
        <v>195</v>
      </c>
      <c r="B12" s="10" t="s">
        <v>75</v>
      </c>
      <c r="C12" s="24" t="n">
        <v>0</v>
      </c>
      <c r="D12" s="24" t="n">
        <v>8</v>
      </c>
      <c r="E12" s="24" t="n">
        <v>12</v>
      </c>
      <c r="F12" s="13" t="n">
        <v>3100</v>
      </c>
      <c r="G12" s="13" t="n">
        <v>5700</v>
      </c>
      <c r="H12" s="13" t="n">
        <v>5400</v>
      </c>
      <c r="I12" s="11" t="n">
        <v>8500</v>
      </c>
      <c r="J12" s="14" t="n">
        <v>0.635294117647059</v>
      </c>
      <c r="K12" s="27" t="n">
        <v>0.491228070175439</v>
      </c>
      <c r="L12" s="28" t="s">
        <v>187</v>
      </c>
    </row>
    <row r="13" customFormat="false" ht="19.5" hidden="false" customHeight="true" outlineLevel="0" collapsed="false">
      <c r="A13" s="21" t="s">
        <v>197</v>
      </c>
      <c r="B13" s="10" t="s">
        <v>75</v>
      </c>
      <c r="C13" s="24" t="n">
        <v>0</v>
      </c>
      <c r="D13" s="24" t="n">
        <v>6</v>
      </c>
      <c r="E13" s="24" t="n">
        <v>4</v>
      </c>
      <c r="F13" s="13" t="n">
        <v>1450</v>
      </c>
      <c r="G13" s="13" t="n">
        <v>2700</v>
      </c>
      <c r="H13" s="13" t="n">
        <v>2600</v>
      </c>
      <c r="I13" s="11" t="n">
        <v>3500</v>
      </c>
      <c r="J13" s="14" t="n">
        <v>0.585714285714286</v>
      </c>
      <c r="K13" s="25" t="n">
        <v>0.296296296296296</v>
      </c>
      <c r="L13" s="26" t="s">
        <v>180</v>
      </c>
    </row>
    <row r="14" customFormat="false" ht="19.5" hidden="false" customHeight="true" outlineLevel="0" collapsed="false">
      <c r="A14" s="21" t="s">
        <v>199</v>
      </c>
      <c r="B14" s="10" t="s">
        <v>200</v>
      </c>
      <c r="C14" s="24" t="n">
        <v>0</v>
      </c>
      <c r="D14" s="24" t="n">
        <v>20</v>
      </c>
      <c r="E14" s="24" t="n">
        <v>20</v>
      </c>
      <c r="F14" s="29" t="n">
        <v>6000</v>
      </c>
      <c r="G14" s="13" t="n">
        <v>11100</v>
      </c>
      <c r="H14" s="13" t="n">
        <v>10500</v>
      </c>
      <c r="I14" s="11" t="n">
        <v>4500</v>
      </c>
      <c r="J14" s="22" t="n">
        <v>-0.333333333333333</v>
      </c>
      <c r="K14" s="22" t="n">
        <v>-0.594594594594595</v>
      </c>
      <c r="L14" s="23" t="s">
        <v>177</v>
      </c>
    </row>
    <row r="15" customFormat="false" ht="19.5" hidden="false" customHeight="true" outlineLevel="0" collapsed="false">
      <c r="A15" s="21" t="s">
        <v>202</v>
      </c>
      <c r="B15" s="10" t="s">
        <v>200</v>
      </c>
      <c r="C15" s="24" t="n">
        <v>0</v>
      </c>
      <c r="D15" s="24" t="n">
        <v>8</v>
      </c>
      <c r="E15" s="24" t="n">
        <v>8</v>
      </c>
      <c r="F15" s="29" t="n">
        <v>2400</v>
      </c>
      <c r="G15" s="13" t="n">
        <v>4400</v>
      </c>
      <c r="H15" s="13" t="n">
        <v>4200</v>
      </c>
      <c r="I15" s="11" t="n">
        <v>2200</v>
      </c>
      <c r="J15" s="22" t="n">
        <v>-0.0909090909090909</v>
      </c>
      <c r="K15" s="22" t="n">
        <v>-0.5</v>
      </c>
      <c r="L15" s="23" t="s">
        <v>177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8"/>
    <col collapsed="false" customWidth="true" hidden="false" outlineLevel="0" max="9" min="9" style="0" width="16"/>
  </cols>
  <sheetData>
    <row r="1" customFormat="false" ht="30" hidden="false" customHeight="true" outlineLevel="0" collapsed="false">
      <c r="A1" s="6" t="s">
        <v>243</v>
      </c>
      <c r="B1" s="6"/>
      <c r="C1" s="6"/>
      <c r="D1" s="6"/>
      <c r="E1" s="6"/>
      <c r="F1" s="6"/>
      <c r="G1" s="6"/>
      <c r="H1" s="6"/>
    </row>
    <row r="2" customFormat="false" ht="15.75" hidden="false" customHeight="true" outlineLevel="0" collapsed="false">
      <c r="A2" s="2" t="s">
        <v>244</v>
      </c>
      <c r="B2" s="2"/>
      <c r="C2" s="2"/>
      <c r="D2" s="2"/>
      <c r="E2" s="2"/>
      <c r="F2" s="2"/>
      <c r="G2" s="2"/>
      <c r="H2" s="2"/>
    </row>
    <row r="3" customFormat="false" ht="42" hidden="false" customHeight="true" outlineLevel="0" collapsed="false">
      <c r="A3" s="7" t="s">
        <v>60</v>
      </c>
      <c r="B3" s="7" t="s">
        <v>245</v>
      </c>
      <c r="C3" s="7" t="s">
        <v>246</v>
      </c>
      <c r="D3" s="7" t="s">
        <v>247</v>
      </c>
      <c r="E3" s="7" t="s">
        <v>248</v>
      </c>
      <c r="F3" s="7" t="s">
        <v>249</v>
      </c>
      <c r="G3" s="7" t="s">
        <v>250</v>
      </c>
      <c r="H3" s="7" t="s">
        <v>251</v>
      </c>
      <c r="I3" s="7" t="s">
        <v>252</v>
      </c>
    </row>
    <row r="4" customFormat="false" ht="21.75" hidden="false" customHeight="true" outlineLevel="0" collapsed="false">
      <c r="A4" s="36" t="s">
        <v>46</v>
      </c>
      <c r="B4" s="37" t="n">
        <v>12</v>
      </c>
      <c r="C4" s="37" t="n">
        <v>0</v>
      </c>
      <c r="D4" s="37" t="n">
        <v>0</v>
      </c>
      <c r="E4" s="38" t="n">
        <v>12</v>
      </c>
      <c r="F4" s="37" t="n">
        <v>0</v>
      </c>
      <c r="G4" s="39" t="n">
        <v>194000</v>
      </c>
      <c r="H4" s="39" t="n">
        <v>199000</v>
      </c>
      <c r="I4" s="40" t="n">
        <v>5000</v>
      </c>
    </row>
    <row r="5" customFormat="false" ht="21.75" hidden="false" customHeight="true" outlineLevel="0" collapsed="false">
      <c r="A5" s="41" t="s">
        <v>48</v>
      </c>
      <c r="B5" s="37" t="n">
        <v>11</v>
      </c>
      <c r="C5" s="37" t="n">
        <v>0</v>
      </c>
      <c r="D5" s="42" t="n">
        <v>3</v>
      </c>
      <c r="E5" s="38" t="n">
        <v>8</v>
      </c>
      <c r="F5" s="37" t="n">
        <v>0</v>
      </c>
      <c r="G5" s="39" t="n">
        <v>71000</v>
      </c>
      <c r="H5" s="39" t="n">
        <v>74400</v>
      </c>
      <c r="I5" s="40" t="n">
        <v>3400</v>
      </c>
    </row>
    <row r="6" customFormat="false" ht="21.75" hidden="false" customHeight="true" outlineLevel="0" collapsed="false">
      <c r="A6" s="43" t="s">
        <v>50</v>
      </c>
      <c r="B6" s="37" t="n">
        <v>13</v>
      </c>
      <c r="C6" s="37" t="n">
        <v>0</v>
      </c>
      <c r="D6" s="42" t="n">
        <v>13</v>
      </c>
      <c r="E6" s="37" t="n">
        <v>0</v>
      </c>
      <c r="F6" s="37" t="n">
        <v>0</v>
      </c>
      <c r="G6" s="39" t="n">
        <v>121500</v>
      </c>
      <c r="H6" s="39" t="n">
        <v>129400</v>
      </c>
      <c r="I6" s="40" t="n">
        <v>7900</v>
      </c>
    </row>
    <row r="7" customFormat="false" ht="21.75" hidden="false" customHeight="true" outlineLevel="0" collapsed="false">
      <c r="A7" s="44" t="s">
        <v>52</v>
      </c>
      <c r="B7" s="37" t="n">
        <v>12</v>
      </c>
      <c r="C7" s="37" t="n">
        <v>0</v>
      </c>
      <c r="D7" s="42" t="n">
        <v>1</v>
      </c>
      <c r="E7" s="38" t="n">
        <v>11</v>
      </c>
      <c r="F7" s="37" t="n">
        <v>0</v>
      </c>
      <c r="G7" s="39" t="n">
        <v>167000</v>
      </c>
      <c r="H7" s="39" t="n">
        <v>174600</v>
      </c>
      <c r="I7" s="40" t="n">
        <v>7600</v>
      </c>
    </row>
    <row r="8" customFormat="false" ht="21.75" hidden="false" customHeight="true" outlineLevel="0" collapsed="false">
      <c r="A8" s="45" t="s">
        <v>54</v>
      </c>
      <c r="B8" s="37" t="n">
        <v>12</v>
      </c>
      <c r="C8" s="42" t="n">
        <v>3</v>
      </c>
      <c r="D8" s="37" t="n">
        <v>0</v>
      </c>
      <c r="E8" s="37" t="n">
        <v>0</v>
      </c>
      <c r="F8" s="38" t="n">
        <v>9</v>
      </c>
      <c r="G8" s="39" t="n">
        <v>124400</v>
      </c>
      <c r="H8" s="39" t="n">
        <v>208400</v>
      </c>
      <c r="I8" s="40" t="n">
        <v>84000</v>
      </c>
    </row>
    <row r="9" customFormat="false" ht="21.75" hidden="false" customHeight="true" outlineLevel="0" collapsed="false">
      <c r="A9" s="46" t="s">
        <v>56</v>
      </c>
      <c r="B9" s="37" t="n">
        <v>10</v>
      </c>
      <c r="C9" s="37" t="n">
        <v>0</v>
      </c>
      <c r="D9" s="42" t="n">
        <v>8</v>
      </c>
      <c r="E9" s="38" t="n">
        <v>2</v>
      </c>
      <c r="F9" s="37" t="n">
        <v>0</v>
      </c>
      <c r="G9" s="39" t="n">
        <v>351600</v>
      </c>
      <c r="H9" s="39" t="n">
        <v>374400</v>
      </c>
      <c r="I9" s="40" t="n">
        <v>22800</v>
      </c>
    </row>
    <row r="10" customFormat="false" ht="15" hidden="false" customHeight="true" outlineLevel="0" collapsed="false">
      <c r="A10" s="34" t="s">
        <v>253</v>
      </c>
      <c r="B10" s="34"/>
      <c r="C10" s="34"/>
      <c r="D10" s="34"/>
      <c r="E10" s="34"/>
      <c r="F10" s="34"/>
      <c r="G10" s="35" t="n">
        <f aca="false">SUM(G4:G9)</f>
        <v>1029500</v>
      </c>
      <c r="H10" s="35" t="n">
        <f aca="false">SUM(H4:H9)</f>
        <v>1160200</v>
      </c>
      <c r="I10" s="35" t="n">
        <f aca="false">SUM(I4:I9)</f>
        <v>130700</v>
      </c>
    </row>
  </sheetData>
  <mergeCells count="3">
    <mergeCell ref="A1:H1"/>
    <mergeCell ref="A2:H2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2026-03-04T18:23:20Z</dcterms:created>
  <dc:creator>openpyxl</dc:creator>
  <dc:description/>
  <dc:language>en-US</dc:language>
  <cp:lastModifiedBy/>
  <dcterms:modified xsi:type="dcterms:W3CDTF">2026-03-04T18:23:20Z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